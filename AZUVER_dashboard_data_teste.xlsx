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cumentos\CCEM 2024\AZUVER 2025\dashboard_informacional\"/>
    </mc:Choice>
  </mc:AlternateContent>
  <xr:revisionPtr revIDLastSave="0" documentId="13_ncr:1_{6EC4E7F5-5A00-47C5-A860-9C0472D27B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ions_daily" sheetId="1" r:id="rId1"/>
    <sheet name="actors" sheetId="2" r:id="rId2"/>
    <sheet name="events" sheetId="3" r:id="rId3"/>
    <sheet name="event_impacts" sheetId="4" r:id="rId4"/>
  </sheets>
  <definedNames>
    <definedName name="_xlnm._FilterDatabase" localSheetId="0" hidden="1">relations_daily!$A$1:$I$65</definedName>
    <definedName name="ActorsList">_xlfn.ANCHORARRAY(actors!$F$2)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F1" i="2" a="1"/>
  <c r="F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<sst xmlns="http://schemas.openxmlformats.org/spreadsheetml/2006/main" count="1023" uniqueCount="300">
  <si>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</si>
  <si>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</si>
  <si>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</si>
  <si>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</si>
  <si>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</si>
  <si>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</si>
  <si>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</si>
  <si>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</si>
  <si>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</si>
  <si>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ATO001</t>
  </si>
  <si>
    <t>AZUL</t>
  </si>
  <si>
    <t>Neutro</t>
  </si>
  <si>
    <t>manual</t>
  </si>
  <si>
    <t>baseline inicial</t>
  </si>
  <si>
    <t>VERMELHO</t>
  </si>
  <si>
    <t>ATO002</t>
  </si>
  <si>
    <t>nome</t>
  </si>
  <si>
    <t>tipo</t>
  </si>
  <si>
    <t>cluster_opcional</t>
  </si>
  <si>
    <t>grupo social</t>
  </si>
  <si>
    <t>ATO003</t>
  </si>
  <si>
    <t>event_id</t>
  </si>
  <si>
    <t>titulo</t>
  </si>
  <si>
    <t>descricao</t>
  </si>
  <si>
    <t>tags</t>
  </si>
  <si>
    <t>fonte</t>
  </si>
  <si>
    <t>responsabilidade</t>
  </si>
  <si>
    <t>EVT-2025-010</t>
  </si>
  <si>
    <t>Coletiva de ajuda humanitária</t>
  </si>
  <si>
    <t>Anúncio de abrigos e logística</t>
  </si>
  <si>
    <t>humanitária</t>
  </si>
  <si>
    <t>comunicacao;ajuda</t>
  </si>
  <si>
    <t>DOC#123</t>
  </si>
  <si>
    <t>EVT-2025-011</t>
  </si>
  <si>
    <t>Operação policial no porto</t>
  </si>
  <si>
    <t>Apreensão de cargas ilícitas</t>
  </si>
  <si>
    <t>operação policial</t>
  </si>
  <si>
    <t>lei&amp;ordem;segurança</t>
  </si>
  <si>
    <t>DOC#124</t>
  </si>
  <si>
    <t>delta_R</t>
  </si>
  <si>
    <t>delta_C</t>
  </si>
  <si>
    <t>racional</t>
  </si>
  <si>
    <t>atraso_dias</t>
  </si>
  <si>
    <t>SINDICATO percebeu resposta social concreta</t>
  </si>
  <si>
    <t>Narrativa rival crítica aos gastos</t>
  </si>
  <si>
    <t>Mídia Lei&amp;Ordem valorizou ação</t>
  </si>
  <si>
    <t>Questionou legalidade da operação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</si>
  <si>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</si>
  <si>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</si>
  <si>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</si>
  <si>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</si>
  <si>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</si>
  <si>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</si>
  <si>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</si>
  <si>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</si>
  <si>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</si>
  <si>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</si>
  <si>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</si>
  <si>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</si>
  <si>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APAV (Assoc. de Produtores de VERMELHO)</t>
  </si>
  <si>
    <t xml:space="preserve">ESCURO </t>
  </si>
  <si>
    <t>CSOI</t>
  </si>
  <si>
    <t>organismo internacional</t>
  </si>
  <si>
    <t xml:space="preserve">SOWETO VERMELHO </t>
  </si>
  <si>
    <t>PCS</t>
  </si>
  <si>
    <t>organização criminosa</t>
  </si>
  <si>
    <t>População AZULINA</t>
  </si>
  <si>
    <t>população</t>
  </si>
  <si>
    <t>PDC</t>
  </si>
  <si>
    <t>partido em AZUL</t>
  </si>
  <si>
    <t>AIEA</t>
  </si>
  <si>
    <t xml:space="preserve">país </t>
  </si>
  <si>
    <t>CINZA</t>
  </si>
  <si>
    <t>MARROM</t>
  </si>
  <si>
    <t>FILTO</t>
  </si>
  <si>
    <t>VERMELHINOS</t>
  </si>
  <si>
    <t>Descendentes de CHUMBO em TOPÁZIO</t>
  </si>
  <si>
    <t>GELO</t>
  </si>
  <si>
    <t>ONGs no TO</t>
  </si>
  <si>
    <t>ornanização não governamental</t>
  </si>
  <si>
    <t>ATO016</t>
  </si>
  <si>
    <t>MPL</t>
  </si>
  <si>
    <t>movimento armado</t>
  </si>
  <si>
    <t>Tenso/Desfavorável</t>
  </si>
  <si>
    <t>Hostilidade extrema</t>
  </si>
  <si>
    <t>Cooperativo</t>
  </si>
  <si>
    <t>Respeito/Temor Elevado</t>
  </si>
  <si>
    <t>Respeito/Temor Moderado</t>
  </si>
  <si>
    <t>Respeito/Temor Baixo</t>
  </si>
  <si>
    <t>Hostil</t>
  </si>
  <si>
    <t>EVT-2025-012</t>
  </si>
  <si>
    <t>EVT-2025-013</t>
  </si>
  <si>
    <t>EVT-2025-014</t>
  </si>
  <si>
    <t>EVT-2025-015</t>
  </si>
  <si>
    <t>EVT-2025-016</t>
  </si>
  <si>
    <t>Caça de AZUL caiu em PRESIDENTE PRUDENTE</t>
  </si>
  <si>
    <t>efeito colateral</t>
  </si>
  <si>
    <t>assuntos civis;op psico; Intlg</t>
  </si>
  <si>
    <t>DOC#125</t>
  </si>
  <si>
    <t>o órgão condenou as Aç</t>
  </si>
  <si>
    <t>A Pop se sentiu protegida por AZUL</t>
  </si>
  <si>
    <t>o partido condenou as Aç</t>
  </si>
  <si>
    <t>A ONG condenou as Aç</t>
  </si>
  <si>
    <t>O MPL condenou e explorou o evento</t>
  </si>
  <si>
    <t>atualização (D + 1)</t>
  </si>
  <si>
    <t>actor_name</t>
  </si>
  <si>
    <t>delta_opiniao_direta</t>
  </si>
  <si>
    <t>delta_midia</t>
  </si>
  <si>
    <t>delta_manifestacoes</t>
  </si>
  <si>
    <t>Agravamento de uma crise humanitária no território de AZUL (Ribeira, Registro e Bocaiuva do Sul) devido a um surto de cólera e intensos alagamentos. Isso resultou no deslocamento desordenado de aproximadamente 5.000 habitantes, conhecidos como Vermelhinos, que buscam rotas de saída, em especial pela BR-116, dificultando operações a norte de CURITIBA e a sul de SÃO PAULO.</t>
  </si>
  <si>
    <t>EVT-2025-017</t>
  </si>
  <si>
    <t>EVT-2025-018</t>
  </si>
  <si>
    <t>EVT-2025-019</t>
  </si>
  <si>
    <t>EVT-2025-020</t>
  </si>
  <si>
    <t>EVT-2025-021</t>
  </si>
  <si>
    <t>EVT-2025-022</t>
  </si>
  <si>
    <t>EVT-2025-023</t>
  </si>
  <si>
    <t>EVT-2025-024</t>
  </si>
  <si>
    <t>EVT-2025-025</t>
  </si>
  <si>
    <t>EVT-2025-026</t>
  </si>
  <si>
    <t>EVT-2025-027</t>
  </si>
  <si>
    <t>EVT-2025-028</t>
  </si>
  <si>
    <t>EVT-2025-029</t>
  </si>
  <si>
    <t>EVT-2025-030</t>
  </si>
  <si>
    <t>EVT-2025-031</t>
  </si>
  <si>
    <t>EVT-2025-032</t>
  </si>
  <si>
    <t>EVT-2025-033</t>
  </si>
  <si>
    <t>EVT-2025-034</t>
  </si>
  <si>
    <t>EVT-2025-035</t>
  </si>
  <si>
    <t>EVT-2025-036</t>
  </si>
  <si>
    <t>EVT-2025-037</t>
  </si>
  <si>
    <t>EVT-2025-038</t>
  </si>
  <si>
    <t>EVT-2025-039</t>
  </si>
  <si>
    <t>EVT-2025-040</t>
  </si>
  <si>
    <t>EVT-2025-041</t>
  </si>
  <si>
    <t>EVT-2025-042</t>
  </si>
  <si>
    <t>EVT-2025-043</t>
  </si>
  <si>
    <t>EVT-2025-044</t>
  </si>
  <si>
    <t>EVT-2025-045</t>
  </si>
  <si>
    <t>EVT-2025-046</t>
  </si>
  <si>
    <t>EVT-2025-047</t>
  </si>
  <si>
    <t>EVT-2025-048</t>
  </si>
  <si>
    <t>EVT-2025-049</t>
  </si>
  <si>
    <t>EVT-2025-050</t>
  </si>
  <si>
    <t>EVT-2025-051</t>
  </si>
  <si>
    <t>EVT-2025-052</t>
  </si>
  <si>
    <t>EVT-2025-053</t>
  </si>
  <si>
    <t>EVT-2025-054</t>
  </si>
  <si>
    <t>EVT-2025-055</t>
  </si>
  <si>
    <t>EVT-2025-056</t>
  </si>
  <si>
    <t>EVT-2025-057</t>
  </si>
  <si>
    <t>EVT-2025-058</t>
  </si>
  <si>
    <t>EVT-2025-059</t>
  </si>
  <si>
    <t>EVT-2025-060</t>
  </si>
  <si>
    <t>EVT-2025-061</t>
  </si>
  <si>
    <t>EVT-2025-062</t>
  </si>
  <si>
    <t>EVT-2025-063</t>
  </si>
  <si>
    <t>EVT-2025-064</t>
  </si>
  <si>
    <t>EVT-2025-065</t>
  </si>
  <si>
    <t>EVT-2025-066</t>
  </si>
  <si>
    <t>EVT-2025-067</t>
  </si>
  <si>
    <t>EVT-2025-068</t>
  </si>
  <si>
    <t>EVT-2025-069</t>
  </si>
  <si>
    <t>EVT-2025-070</t>
  </si>
  <si>
    <t>EVT-2025-071</t>
  </si>
  <si>
    <t>EVT-2025-072</t>
  </si>
  <si>
    <t>EVT-2025-073</t>
  </si>
  <si>
    <t>EVT-2025-074</t>
  </si>
  <si>
    <t>EVT-2025-075</t>
  </si>
  <si>
    <t>EVT-2025-076</t>
  </si>
  <si>
    <t>EVT-2025-077</t>
  </si>
  <si>
    <t>EVT-2025-078</t>
  </si>
  <si>
    <t>EVT-2025-079</t>
  </si>
  <si>
    <t>EVT-2025-080</t>
  </si>
  <si>
    <t>EVT-2025-081</t>
  </si>
  <si>
    <t>EVT-2025-082</t>
  </si>
  <si>
    <t>EVT-2025-083</t>
  </si>
  <si>
    <t>EVT-2025-084</t>
  </si>
  <si>
    <t>EVT-2025-085</t>
  </si>
  <si>
    <t>EVT-2025-086</t>
  </si>
  <si>
    <t>EVT-2025-087</t>
  </si>
  <si>
    <t>EVT-2025-088</t>
  </si>
  <si>
    <t>EVT-2025-089</t>
  </si>
  <si>
    <t>EVT-2025-090</t>
  </si>
  <si>
    <t>EVT-2025-091</t>
  </si>
  <si>
    <t>EVT-2025-092</t>
  </si>
  <si>
    <t>EVT-2025-093</t>
  </si>
  <si>
    <t>EVT-2025-094</t>
  </si>
  <si>
    <t>EVT-2025-095</t>
  </si>
  <si>
    <t>EVT-2025-096</t>
  </si>
  <si>
    <t>EVT-2025-097</t>
  </si>
  <si>
    <t>EVT-2025-098</t>
  </si>
  <si>
    <t>EVT-2025-099</t>
  </si>
  <si>
    <t>EVT-2025-100</t>
  </si>
  <si>
    <t>EVT-2025-101</t>
  </si>
  <si>
    <t>EVT-2025-102</t>
  </si>
  <si>
    <t>EVT-2025-103</t>
  </si>
  <si>
    <t>EVT-2025-104</t>
  </si>
  <si>
    <t>EVT-2025-105</t>
  </si>
  <si>
    <t>EVT-2025-106</t>
  </si>
  <si>
    <t>EVT-2025-107</t>
  </si>
  <si>
    <t>EVT-2025-108</t>
  </si>
  <si>
    <t>EVT-2025-109</t>
  </si>
  <si>
    <t>EVT-2025-110</t>
  </si>
  <si>
    <t>EVT-2025-111</t>
  </si>
  <si>
    <t>EVT-2025-112</t>
  </si>
  <si>
    <t>EVT-2025-113</t>
  </si>
  <si>
    <t>EVT-2025-114</t>
  </si>
  <si>
    <t>EVT-2025-115</t>
  </si>
  <si>
    <t>EVT-2025-116</t>
  </si>
  <si>
    <t>EVT-2025-117</t>
  </si>
  <si>
    <t>EVT-2025-118</t>
  </si>
  <si>
    <t>EVT-2025-119</t>
  </si>
  <si>
    <t>EVT-2025-120</t>
  </si>
  <si>
    <t>EVT-2025-121</t>
  </si>
  <si>
    <t>EVT-2025-122</t>
  </si>
  <si>
    <t>EVT-2025-123</t>
  </si>
  <si>
    <t>EVT-2025-124</t>
  </si>
  <si>
    <t>EVT-2025-125</t>
  </si>
  <si>
    <t>EVT-2025-126</t>
  </si>
  <si>
    <t>EVT-2025-127</t>
  </si>
  <si>
    <t>EVT-2025-128</t>
  </si>
  <si>
    <t>EVT-2025-129</t>
  </si>
  <si>
    <t>EVT-2025-130</t>
  </si>
  <si>
    <t>EVT-2025-131</t>
  </si>
  <si>
    <t>EVT-2025-132</t>
  </si>
  <si>
    <t>EVT-2025-133</t>
  </si>
  <si>
    <t>EVT-2025-134</t>
  </si>
  <si>
    <t>EVT-2025-135</t>
  </si>
  <si>
    <t>EVT-2025-136</t>
  </si>
  <si>
    <t>EVT-2025-137</t>
  </si>
  <si>
    <t>EVT-2025-138</t>
  </si>
  <si>
    <t>EVT-2025-139</t>
  </si>
  <si>
    <t>EVT-2025-140</t>
  </si>
  <si>
    <t>EVT-2025-141</t>
  </si>
  <si>
    <t>EVT-2025-142</t>
  </si>
  <si>
    <t>EVT-2025-143</t>
  </si>
  <si>
    <t>EVT-2025-144</t>
  </si>
  <si>
    <t>EVT-2025-145</t>
  </si>
  <si>
    <t>EVT-2025-146</t>
  </si>
  <si>
    <t>EVT-2025-147</t>
  </si>
  <si>
    <t>EVT-2025-148</t>
  </si>
  <si>
    <t>EVT-2025-149</t>
  </si>
  <si>
    <t>EVT-2025-150</t>
  </si>
  <si>
    <t>EVT-2025-151</t>
  </si>
  <si>
    <t>EVT-2025-152</t>
  </si>
  <si>
    <t>EVT-2025-153</t>
  </si>
  <si>
    <t>EVT-2025-154</t>
  </si>
  <si>
    <t>EVT-2025-155</t>
  </si>
  <si>
    <t>EVT-2025-156</t>
  </si>
  <si>
    <t>EVT-2025-157</t>
  </si>
  <si>
    <t>EVT-2025-158</t>
  </si>
  <si>
    <t>EVT-2025-159</t>
  </si>
  <si>
    <t>EVT-2025-160</t>
  </si>
  <si>
    <t>EVT-2025-161</t>
  </si>
  <si>
    <t>EVT-2025-162</t>
  </si>
  <si>
    <t>EVT-2025-163</t>
  </si>
  <si>
    <t>EVT-2025-164</t>
  </si>
  <si>
    <t>EVT-2025-165</t>
  </si>
  <si>
    <t>EVT-2025-166</t>
  </si>
  <si>
    <t>EVT-2025-167</t>
  </si>
  <si>
    <t>EVT-2025-168</t>
  </si>
  <si>
    <t>EVT-2025-169</t>
  </si>
  <si>
    <t>EVT-2025-170</t>
  </si>
  <si>
    <t>EVT-2025-171</t>
  </si>
  <si>
    <t>EVT-2025-172</t>
  </si>
  <si>
    <t>EVT-2025-173</t>
  </si>
  <si>
    <t>EVT-2025-174</t>
  </si>
  <si>
    <t>EVT-2025-175</t>
  </si>
  <si>
    <t>EVT-2025-176</t>
  </si>
  <si>
    <t>EVT-2025-177</t>
  </si>
  <si>
    <t>EVT-2025-178</t>
  </si>
  <si>
    <t>EVT-2025-179</t>
  </si>
  <si>
    <t>EVT-2025-180</t>
  </si>
  <si>
    <t>EVT-2025-181</t>
  </si>
  <si>
    <t>EVT-2025-182</t>
  </si>
  <si>
    <t>EVT-2025-183</t>
  </si>
  <si>
    <t>Agravamento de uma crise humanitária no território de AZUL</t>
  </si>
  <si>
    <t>Crise em território AZUL e deslocamento de Vermelhinos podem levar à percepção de resposta tardia/insuficiente de AZUL, diminuindo afinidade e respeito.</t>
  </si>
  <si>
    <t>VERMELHO oferece ajuda humanitária e campanha informacional que o posiciona como protetor dos Vermelhinos, aumentando afinidade e respeito.</t>
  </si>
  <si>
    <t>AZUL demonstra resposta ativa e coordenada à crise humanitária, reforçando a percepção de um governo preocupado e capaz.</t>
  </si>
  <si>
    <t>VERMELHO é visto como oportunista ao politizar a crise interna de AZUL para justificar intervenção, diminuindo afinidade e respeito.</t>
  </si>
  <si>
    <t>AZUL coordena ajuda humanitária e engaja agências, demonstrando responsabilidade e capacidade de gestão.</t>
  </si>
  <si>
    <t>VERMELHO oferece ajuda, mas a politização da crise para justificar intervenção limita o aumento de afinidade e respeito.</t>
  </si>
  <si>
    <t>AZUL demonstra comportamento responsável ao gerenciar crise interna, aumentando afinidade e respeito de estado neutro.</t>
  </si>
  <si>
    <t>VERMELHO politiza crise para justificar intervenção, sendo visto como desestabilizador e oportunista por estado neutro.</t>
  </si>
  <si>
    <t>AZUL responde ativamente à crise humanitária e coordena com agências, demonstrando responsabilidade internacional.</t>
  </si>
  <si>
    <t>VERMELHO politiza ajuda humanitária para justificar intervenção, minando a paz e segurança regional, diminuindo afinidade e respeito.</t>
  </si>
  <si>
    <t>AZUL responde à crise, limitando críticas da oposição, que pode focar em melhorias futuras.</t>
  </si>
  <si>
    <t>VERMELHO fornece argumentos para a oposição de AZUL criticar o governo, aumentando ligeiramente a afinidade por conveniência política.</t>
  </si>
  <si>
    <t>Crise em território AZUL e deslocamento de Vermelhinos podem levar à percepção de resposta insuficiente de AZUL para esta população.</t>
  </si>
  <si>
    <t>VERMELHO foca nos Vermelhinos e na narrativa de intervenção, o que pode ressoar com os objetivos do MPL.</t>
  </si>
  <si>
    <t>AZUL gerencia crise e mitiga impacto em logística, demonstrando capacidade de manter estabilidade econômica.</t>
  </si>
  <si>
    <t>VERMELHO politiza crise e causa instabilidade, prejudicando interesses empresariais e logísticos.</t>
  </si>
  <si>
    <t>AZUL é percebido como insuficiente na proteção dos Vermelhinos afetados pela crise, diminuindo afinidade e respeito.</t>
  </si>
  <si>
    <t>VERMELHO foca nos Vermelhinos e na narrativa de \"descaso\" de AZUL, ressoando com os objetivos do movimento.</t>
  </si>
  <si>
    <t>AZUL gerencia crise, demonstrando esforço para manter ordem e previsibilidade, aumentando ligeiramente afinidade e respeito.</t>
  </si>
  <si>
    <t>VERMELHO politiza crise e argumenta intervenção em TOPÁZIO, gerando preocupação e instabilidade para a comunidade.</t>
  </si>
  <si>
    <t>atualização (D + 2)</t>
  </si>
  <si>
    <t>2025-10-20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</si>
</sst>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1"/>
      <name val="Calibri"/>
      <family val="2"/>
    </font>
    <font>
      <sz val="11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3" fillId="0" borderId="8" xfId="0" applyFont="1" applyBorder="1"/>
    <xf numFmtId="0" fontId="0" fillId="0" borderId="9" xfId="0" applyBorder="1"/>
    <xf numFmtId="0" fontId="5" fillId="0" borderId="5" xfId="0" applyFont="1" applyBorder="1" applyAlignment="1">
      <alignment horizontal="center" vertical="top"/>
    </xf>
    <xf numFmtId="0" fontId="0" fillId="0" borderId="0" xfId="0" applyBorder="1"/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6" fillId="0" borderId="10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top"/>
    </xf>
    <xf numFmtId="164" fontId="0" fillId="0" borderId="0" xfId="0" applyNumberFormat="1" applyBorder="1"/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23">
    <dxf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E38C3E-8A3D-4434-8337-0420E18C2416}" name="Tabela4" displayName="Tabela4" ref="A1:I1048576" totalsRowShown="0" headerRowDxfId="7">
  <autoFilter ref="A1:I1048576" xr:uid="{B7E38C3E-8A3D-4434-8337-0420E18C2416}"/>
  <tableColumns count="9">
    <tableColumn id="1" xr3:uid="{903F7B59-588A-4677-91D4-CAFFEF4BCC9C}" name="data"/>
    <tableColumn id="2" xr3:uid="{A09085F6-8297-4CE5-B58F-03F6319819C3}" name="actor_id"/>
    <tableColumn id="3" xr3:uid="{C72CFD9D-ECD0-46B1-BEA3-AF7943ED6BEC}" name="partido"/>
    <tableColumn id="4" xr3:uid="{7F40A552-08DB-47E5-B8C9-D234A3618AC7}" name="R"/>
    <tableColumn id="5" xr3:uid="{6D524766-1B99-4A6B-BBB8-2C07618F12BD}" name="C"/>
    <tableColumn id="6" xr3:uid="{975C8660-93D0-4033-AA43-8AA370C045E9}" name="class_R"/>
    <tableColumn id="7" xr3:uid="{B6DA6EC3-D88E-4812-89CE-2FD27455D195}" name="class_C"/>
    <tableColumn id="8" xr3:uid="{2DC65DDE-891F-45C1-A625-9C1EA845FBAC}" name="fonte_regra"/>
    <tableColumn id="9" xr3:uid="{ED276677-25B8-4FBE-A338-C1FDCB7FC603}" name="ob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AD564-B18D-4439-A198-8AF944A99772}" name="tblActors" displayName="tblActors" ref="A1:D17" totalsRowShown="0" headerRowDxfId="15" headerRowBorderDxfId="21" tableBorderDxfId="22" totalsRowBorderDxfId="20">
  <autoFilter ref="A1:D17" xr:uid="{5A3AD564-B18D-4439-A198-8AF944A99772}"/>
  <tableColumns count="4">
    <tableColumn id="1" xr3:uid="{3122FF93-D7C9-47C4-AAE7-E5CBE0FA3A54}" name="actor_id" dataDxfId="19"/>
    <tableColumn id="2" xr3:uid="{2220D84D-1A4B-4A12-888A-7592053EDECC}" name="nome" dataDxfId="18"/>
    <tableColumn id="3" xr3:uid="{7244E1B6-C06A-46BA-A29E-7198716E593E}" name="tipo" dataDxfId="17"/>
    <tableColumn id="4" xr3:uid="{10B1B0CA-D667-4698-9FAC-A50EC4C9BE0A}" name="cluster_opcional" dataDxfId="1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E140BC-D0AD-4653-A557-FEB72E7706BB}" name="Tabela3" displayName="Tabela3" ref="A1:H279" totalsRowShown="0" headerRowDxfId="8" headerRowBorderDxfId="9" tableBorderDxfId="10">
  <autoFilter ref="A1:H279" xr:uid="{8EE140BC-D0AD-4653-A557-FEB72E7706BB}"/>
  <tableColumns count="8">
    <tableColumn id="1" xr3:uid="{A64D0630-7FB4-4675-AF15-DFA9CC4C3218}" name="event_id"/>
    <tableColumn id="2" xr3:uid="{ABB220E9-794F-4B06-80FB-EA100148E885}" name="data"/>
    <tableColumn id="3" xr3:uid="{DEFA5E68-941A-4720-891C-051748ACEEE4}" name="titulo" dataDxfId="6"/>
    <tableColumn id="4" xr3:uid="{2AA18C9F-BAB7-429C-BD76-624D918E02A6}" name="descricao" dataDxfId="5"/>
    <tableColumn id="5" xr3:uid="{ACAD5301-D426-46EE-A7F5-46CA1210DCDF}" name="tipo" dataDxfId="4"/>
    <tableColumn id="6" xr3:uid="{C20CACB4-38DD-423C-80F3-2EAB1574530A}" name="tags" dataDxfId="3"/>
    <tableColumn id="7" xr3:uid="{46484C08-2E71-4200-A22E-BF604C745824}" name="fonte" dataDxfId="2"/>
    <tableColumn id="8" xr3:uid="{9B6E38A2-36A7-42AA-A46E-F35C16B84F1E}" name="responsabilidade" dataDxfId="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935928-F61E-454D-9EE9-3D2DFF7048F4}" name="Tabela2" displayName="Tabela2" ref="A1:K328" totalsRowShown="0" headerRowDxfId="11" headerRowBorderDxfId="13" tableBorderDxfId="14">
  <autoFilter ref="A1:K328" xr:uid="{8F935928-F61E-454D-9EE9-3D2DFF7048F4}"/>
  <tableColumns count="11">
    <tableColumn id="1" xr3:uid="{BAF761B8-D6AF-48D3-A1F5-3D35088A4234}" name="event_id"/>
    <tableColumn id="2" xr3:uid="{78C225EA-4EED-44B0-BBCE-FD76B432B72B}" name="actor_id" dataDxfId="12">
      <calculatedColumnFormula>IFERROR(_xlfn.XLOOKUP(C2, tblActors[nome], tblActors[actor_id], ""), "")</calculatedColumnFormula>
    </tableColumn>
    <tableColumn id="3" xr3:uid="{37AE2979-DF01-47CD-BEA5-BA034C5B3757}" name="actor_name"/>
    <tableColumn id="4" xr3:uid="{7BDACF9C-965E-4CCF-94CF-242CB57A4AC1}" name="partido"/>
    <tableColumn id="5" xr3:uid="{6A802EC2-6140-4C9F-9D92-0F2B0C6B0D2F}" name="delta_R"/>
    <tableColumn id="6" xr3:uid="{5830257E-D8FA-438E-9298-17ED813D6C77}" name="delta_C"/>
    <tableColumn id="7" xr3:uid="{ED6BE6E1-B0BE-4C05-8C17-6A8218AD71A0}" name="racional" dataDxfId="0"/>
    <tableColumn id="8" xr3:uid="{481A5440-CA6F-4A3B-984A-1D2FFA263532}" name="atraso_dias"/>
    <tableColumn id="9" xr3:uid="{DD506A33-5271-4DFF-AAA8-7F12E055CCD0}" name="delta_opiniao_direta"/>
    <tableColumn id="10" xr3:uid="{9B94DE7A-D5B7-427A-A880-C7C51E771C9F}" name="delta_midia"/>
    <tableColumn id="11" xr3:uid="{64A462DB-FAB2-4773-853C-F495460B8D06}" name="delta_manifestaco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zoomScale="85" zoomScaleNormal="85" workbookViewId="0">
      <selection activeCell="L76" sqref="L76"/>
    </sheetView>
  </sheetViews>
  <sheetFormatPr defaultRowHeight="15"/>
  <cols>
    <col min="1" max="1" width="18.28515625" style="14" bestFit="1" customWidth="1"/>
    <col min="2" max="2" width="9.85546875" style="14" customWidth="1"/>
    <col min="3" max="3" width="10.7109375" style="14" bestFit="1" customWidth="1"/>
    <col min="4" max="5" width="9.140625" style="14"/>
    <col min="6" max="6" width="22.5703125" style="14" customWidth="1"/>
    <col min="7" max="7" width="24.7109375" style="14" bestFit="1" customWidth="1"/>
    <col min="8" max="8" width="13" style="14" customWidth="1"/>
    <col min="9" max="9" width="20.42578125" style="14" bestFit="1" customWidth="1"/>
  </cols>
  <sheetData>
    <row r="1" spans="1:9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spans="1:9" ht="29.25" customHeight="1">
      <c r="A2" s="21">
        <v>45946</v>
      </c>
      <c r="B2" s="14" t="s">
        <v>9</v>
      </c>
      <c r="C2" s="14" t="s">
        <v>10</v>
      </c>
      <c r="D2" s="14">
        <v>42</v>
      </c>
      <c r="E2" s="14">
        <v>60</v>
      </c>
      <c r="F2" s="22" t="s">
        <v>83</v>
      </c>
      <c r="G2" s="23" t="s">
        <v>86</v>
      </c>
      <c r="H2" s="14" t="s">
        <v>12</v>
      </c>
      <c r="I2" s="14" t="s">
        <v>13</v>
      </c>
    </row>
    <row r="3" spans="1:9" ht="29.25" customHeight="1">
      <c r="A3" s="21">
        <v>45946</v>
      </c>
      <c r="B3" s="14" t="s">
        <v>15</v>
      </c>
      <c r="C3" s="14" t="s">
        <v>10</v>
      </c>
      <c r="D3" s="14">
        <v>55</v>
      </c>
      <c r="E3" s="14">
        <v>65</v>
      </c>
      <c r="F3" s="22" t="s">
        <v>11</v>
      </c>
      <c r="G3" s="23" t="s">
        <v>86</v>
      </c>
      <c r="H3" s="14" t="s">
        <v>12</v>
      </c>
      <c r="I3" s="14" t="s">
        <v>13</v>
      </c>
    </row>
    <row r="4" spans="1:9" ht="29.25" customHeight="1">
      <c r="A4" s="21">
        <v>45946</v>
      </c>
      <c r="B4" s="14" t="s">
        <v>20</v>
      </c>
      <c r="C4" s="14" t="s">
        <v>10</v>
      </c>
      <c r="D4" s="14">
        <v>58</v>
      </c>
      <c r="E4" s="14">
        <v>50</v>
      </c>
      <c r="F4" s="22" t="s">
        <v>11</v>
      </c>
      <c r="G4" s="23" t="s">
        <v>87</v>
      </c>
      <c r="H4" s="14" t="s">
        <v>12</v>
      </c>
      <c r="I4" s="14" t="s">
        <v>13</v>
      </c>
    </row>
    <row r="5" spans="1:9" ht="29.25" customHeight="1">
      <c r="A5" s="21">
        <v>45946</v>
      </c>
      <c r="B5" s="14" t="s">
        <v>47</v>
      </c>
      <c r="C5" s="14" t="s">
        <v>10</v>
      </c>
      <c r="D5" s="14">
        <v>50</v>
      </c>
      <c r="E5" s="14">
        <v>50</v>
      </c>
      <c r="F5" s="23" t="s">
        <v>11</v>
      </c>
      <c r="G5" s="23" t="s">
        <v>87</v>
      </c>
      <c r="H5" s="14" t="s">
        <v>12</v>
      </c>
      <c r="I5" s="14" t="s">
        <v>13</v>
      </c>
    </row>
    <row r="6" spans="1:9" ht="29.25" customHeight="1">
      <c r="A6" s="21">
        <v>45946</v>
      </c>
      <c r="B6" s="14" t="s">
        <v>48</v>
      </c>
      <c r="C6" s="14" t="s">
        <v>10</v>
      </c>
      <c r="D6" s="14">
        <v>10</v>
      </c>
      <c r="E6" s="14">
        <v>60</v>
      </c>
      <c r="F6" s="22" t="s">
        <v>84</v>
      </c>
      <c r="G6" s="23" t="s">
        <v>86</v>
      </c>
      <c r="H6" s="14" t="s">
        <v>12</v>
      </c>
      <c r="I6" s="14" t="s">
        <v>13</v>
      </c>
    </row>
    <row r="7" spans="1:9" ht="29.25" customHeight="1">
      <c r="A7" s="21">
        <v>45946</v>
      </c>
      <c r="B7" s="14" t="s">
        <v>49</v>
      </c>
      <c r="C7" s="14" t="s">
        <v>10</v>
      </c>
      <c r="D7" s="14">
        <v>60</v>
      </c>
      <c r="E7" s="14">
        <v>55</v>
      </c>
      <c r="F7" s="22" t="s">
        <v>85</v>
      </c>
      <c r="G7" s="23" t="s">
        <v>87</v>
      </c>
      <c r="H7" s="14" t="s">
        <v>12</v>
      </c>
      <c r="I7" s="14" t="s">
        <v>13</v>
      </c>
    </row>
    <row r="8" spans="1:9" ht="29.25" customHeight="1">
      <c r="A8" s="21">
        <v>45946</v>
      </c>
      <c r="B8" s="14" t="s">
        <v>50</v>
      </c>
      <c r="C8" s="14" t="s">
        <v>10</v>
      </c>
      <c r="D8" s="14">
        <v>40</v>
      </c>
      <c r="E8" s="14">
        <v>58</v>
      </c>
      <c r="F8" s="22" t="s">
        <v>83</v>
      </c>
      <c r="G8" s="23" t="s">
        <v>87</v>
      </c>
      <c r="H8" s="14" t="s">
        <v>12</v>
      </c>
      <c r="I8" s="14" t="s">
        <v>13</v>
      </c>
    </row>
    <row r="9" spans="1:9" ht="29.25" customHeight="1">
      <c r="A9" s="21">
        <v>45946</v>
      </c>
      <c r="B9" s="14" t="s">
        <v>51</v>
      </c>
      <c r="C9" s="14" t="s">
        <v>10</v>
      </c>
      <c r="D9" s="14">
        <v>48</v>
      </c>
      <c r="E9" s="14">
        <v>50</v>
      </c>
      <c r="F9" s="23" t="s">
        <v>83</v>
      </c>
      <c r="G9" s="23" t="s">
        <v>87</v>
      </c>
      <c r="H9" s="14" t="s">
        <v>12</v>
      </c>
      <c r="I9" s="14" t="s">
        <v>13</v>
      </c>
    </row>
    <row r="10" spans="1:9" ht="29.25" customHeight="1">
      <c r="A10" s="21">
        <v>45946</v>
      </c>
      <c r="B10" s="14" t="s">
        <v>52</v>
      </c>
      <c r="C10" s="14" t="s">
        <v>10</v>
      </c>
      <c r="D10" s="14">
        <v>55</v>
      </c>
      <c r="E10" s="14">
        <v>60</v>
      </c>
      <c r="F10" s="22" t="s">
        <v>11</v>
      </c>
      <c r="G10" s="23" t="s">
        <v>86</v>
      </c>
      <c r="H10" s="14" t="s">
        <v>12</v>
      </c>
      <c r="I10" s="14" t="s">
        <v>13</v>
      </c>
    </row>
    <row r="11" spans="1:9" ht="29.25" customHeight="1">
      <c r="A11" s="21">
        <v>45946</v>
      </c>
      <c r="B11" s="14" t="s">
        <v>53</v>
      </c>
      <c r="C11" s="14" t="s">
        <v>10</v>
      </c>
      <c r="D11" s="14">
        <v>55</v>
      </c>
      <c r="E11" s="14">
        <v>60</v>
      </c>
      <c r="F11" s="22" t="s">
        <v>11</v>
      </c>
      <c r="G11" s="23" t="s">
        <v>86</v>
      </c>
      <c r="H11" s="14" t="s">
        <v>12</v>
      </c>
      <c r="I11" s="14" t="s">
        <v>13</v>
      </c>
    </row>
    <row r="12" spans="1:9" ht="29.25" customHeight="1">
      <c r="A12" s="21">
        <v>45946</v>
      </c>
      <c r="B12" s="14" t="s">
        <v>54</v>
      </c>
      <c r="C12" s="14" t="s">
        <v>10</v>
      </c>
      <c r="D12" s="14">
        <v>40</v>
      </c>
      <c r="E12" s="14">
        <v>50</v>
      </c>
      <c r="F12" s="23" t="s">
        <v>83</v>
      </c>
      <c r="G12" s="23" t="s">
        <v>87</v>
      </c>
      <c r="H12" s="14" t="s">
        <v>12</v>
      </c>
      <c r="I12" s="14" t="s">
        <v>13</v>
      </c>
    </row>
    <row r="13" spans="1:9" ht="29.25" customHeight="1">
      <c r="A13" s="21">
        <v>45946</v>
      </c>
      <c r="B13" s="14" t="s">
        <v>55</v>
      </c>
      <c r="C13" s="14" t="s">
        <v>10</v>
      </c>
      <c r="D13" s="14">
        <v>35</v>
      </c>
      <c r="E13" s="14">
        <v>45</v>
      </c>
      <c r="F13" s="22" t="s">
        <v>83</v>
      </c>
      <c r="G13" s="23" t="s">
        <v>87</v>
      </c>
      <c r="H13" s="14" t="s">
        <v>12</v>
      </c>
      <c r="I13" s="14" t="s">
        <v>13</v>
      </c>
    </row>
    <row r="14" spans="1:9" ht="29.25" customHeight="1">
      <c r="A14" s="21">
        <v>45946</v>
      </c>
      <c r="B14" s="14" t="s">
        <v>56</v>
      </c>
      <c r="C14" s="14" t="s">
        <v>10</v>
      </c>
      <c r="D14" s="14">
        <v>45</v>
      </c>
      <c r="E14" s="14">
        <v>45</v>
      </c>
      <c r="F14" s="22" t="s">
        <v>83</v>
      </c>
      <c r="G14" s="23" t="s">
        <v>87</v>
      </c>
      <c r="H14" s="14" t="s">
        <v>12</v>
      </c>
      <c r="I14" s="14" t="s">
        <v>13</v>
      </c>
    </row>
    <row r="15" spans="1:9" ht="29.25" customHeight="1">
      <c r="A15" s="21">
        <v>45946</v>
      </c>
      <c r="B15" s="14" t="s">
        <v>57</v>
      </c>
      <c r="C15" s="14" t="s">
        <v>10</v>
      </c>
      <c r="D15" s="14">
        <v>60</v>
      </c>
      <c r="E15" s="14">
        <v>65</v>
      </c>
      <c r="F15" s="23" t="s">
        <v>85</v>
      </c>
      <c r="G15" s="23" t="s">
        <v>86</v>
      </c>
      <c r="H15" s="14" t="s">
        <v>12</v>
      </c>
      <c r="I15" s="14" t="s">
        <v>13</v>
      </c>
    </row>
    <row r="16" spans="1:9" ht="29.25" customHeight="1">
      <c r="A16" s="21">
        <v>45946</v>
      </c>
      <c r="B16" s="14" t="s">
        <v>58</v>
      </c>
      <c r="C16" s="14" t="s">
        <v>10</v>
      </c>
      <c r="D16" s="14">
        <v>58</v>
      </c>
      <c r="E16" s="14">
        <v>68</v>
      </c>
      <c r="F16" s="22" t="s">
        <v>11</v>
      </c>
      <c r="G16" s="23" t="s">
        <v>86</v>
      </c>
      <c r="H16" s="14" t="s">
        <v>12</v>
      </c>
      <c r="I16" s="14" t="s">
        <v>13</v>
      </c>
    </row>
    <row r="17" spans="1:9" ht="29.25" customHeight="1">
      <c r="A17" s="21">
        <v>45946</v>
      </c>
      <c r="B17" s="14" t="s">
        <v>80</v>
      </c>
      <c r="C17" s="14" t="s">
        <v>10</v>
      </c>
      <c r="D17" s="14">
        <v>12</v>
      </c>
      <c r="E17" s="14">
        <v>33</v>
      </c>
      <c r="F17" s="23" t="s">
        <v>84</v>
      </c>
      <c r="G17" s="23" t="s">
        <v>88</v>
      </c>
      <c r="H17" s="14" t="s">
        <v>12</v>
      </c>
      <c r="I17" s="14" t="s">
        <v>13</v>
      </c>
    </row>
    <row r="18" spans="1:9" ht="31.5">
      <c r="A18" s="21">
        <v>45946</v>
      </c>
      <c r="B18" s="14" t="s">
        <v>9</v>
      </c>
      <c r="C18" s="14" t="s">
        <v>14</v>
      </c>
      <c r="D18" s="14">
        <v>66</v>
      </c>
      <c r="E18" s="14">
        <v>55</v>
      </c>
      <c r="F18" s="22" t="s">
        <v>85</v>
      </c>
      <c r="G18" s="23" t="s">
        <v>87</v>
      </c>
      <c r="H18" s="14" t="s">
        <v>12</v>
      </c>
      <c r="I18" s="14" t="s">
        <v>13</v>
      </c>
    </row>
    <row r="19" spans="1:9" ht="31.5">
      <c r="A19" s="21">
        <v>45946</v>
      </c>
      <c r="B19" s="14" t="s">
        <v>15</v>
      </c>
      <c r="C19" s="14" t="s">
        <v>14</v>
      </c>
      <c r="D19" s="14">
        <v>60</v>
      </c>
      <c r="E19" s="14">
        <v>62</v>
      </c>
      <c r="F19" s="23" t="s">
        <v>85</v>
      </c>
      <c r="G19" s="23" t="s">
        <v>86</v>
      </c>
      <c r="H19" s="14" t="s">
        <v>12</v>
      </c>
      <c r="I19" s="14" t="s">
        <v>13</v>
      </c>
    </row>
    <row r="20" spans="1:9" ht="31.5">
      <c r="A20" s="21">
        <v>45946</v>
      </c>
      <c r="B20" s="14" t="s">
        <v>20</v>
      </c>
      <c r="C20" s="14" t="s">
        <v>14</v>
      </c>
      <c r="D20" s="14">
        <v>57</v>
      </c>
      <c r="E20" s="14">
        <v>52</v>
      </c>
      <c r="F20" s="22" t="s">
        <v>11</v>
      </c>
      <c r="G20" s="23" t="s">
        <v>87</v>
      </c>
      <c r="H20" s="14" t="s">
        <v>12</v>
      </c>
      <c r="I20" s="14" t="s">
        <v>13</v>
      </c>
    </row>
    <row r="21" spans="1:9" ht="31.5">
      <c r="A21" s="21">
        <v>45946</v>
      </c>
      <c r="B21" s="14" t="s">
        <v>47</v>
      </c>
      <c r="C21" s="14" t="s">
        <v>14</v>
      </c>
      <c r="D21" s="14">
        <v>12</v>
      </c>
      <c r="E21" s="14">
        <v>48</v>
      </c>
      <c r="F21" s="23" t="s">
        <v>84</v>
      </c>
      <c r="G21" s="23" t="s">
        <v>87</v>
      </c>
      <c r="H21" s="14" t="s">
        <v>12</v>
      </c>
      <c r="I21" s="14" t="s">
        <v>13</v>
      </c>
    </row>
    <row r="22" spans="1:9" ht="31.5">
      <c r="A22" s="21">
        <v>45946</v>
      </c>
      <c r="B22" s="14" t="s">
        <v>48</v>
      </c>
      <c r="C22" s="14" t="s">
        <v>14</v>
      </c>
      <c r="D22" s="14">
        <v>33</v>
      </c>
      <c r="E22" s="14">
        <v>64</v>
      </c>
      <c r="F22" s="23" t="s">
        <v>89</v>
      </c>
      <c r="G22" s="23" t="s">
        <v>86</v>
      </c>
      <c r="H22" s="14" t="s">
        <v>12</v>
      </c>
      <c r="I22" s="14" t="s">
        <v>13</v>
      </c>
    </row>
    <row r="23" spans="1:9" ht="30">
      <c r="A23" s="21">
        <v>45946</v>
      </c>
      <c r="B23" s="14" t="s">
        <v>49</v>
      </c>
      <c r="C23" s="14" t="s">
        <v>14</v>
      </c>
      <c r="D23" s="14">
        <v>44</v>
      </c>
      <c r="E23" s="14">
        <v>50</v>
      </c>
      <c r="F23" s="22" t="s">
        <v>83</v>
      </c>
      <c r="G23" s="23" t="s">
        <v>87</v>
      </c>
      <c r="H23" s="14" t="s">
        <v>12</v>
      </c>
      <c r="I23" s="14" t="s">
        <v>13</v>
      </c>
    </row>
    <row r="24" spans="1:9" ht="30">
      <c r="A24" s="21">
        <v>45946</v>
      </c>
      <c r="B24" s="14" t="s">
        <v>50</v>
      </c>
      <c r="C24" s="14" t="s">
        <v>14</v>
      </c>
      <c r="D24" s="14">
        <v>38</v>
      </c>
      <c r="E24" s="14">
        <v>56</v>
      </c>
      <c r="F24" s="22" t="s">
        <v>83</v>
      </c>
      <c r="G24" s="23" t="s">
        <v>87</v>
      </c>
      <c r="H24" s="14" t="s">
        <v>12</v>
      </c>
      <c r="I24" s="14" t="s">
        <v>13</v>
      </c>
    </row>
    <row r="25" spans="1:9" ht="31.5">
      <c r="A25" s="21">
        <v>45946</v>
      </c>
      <c r="B25" s="14" t="s">
        <v>51</v>
      </c>
      <c r="C25" s="14" t="s">
        <v>14</v>
      </c>
      <c r="D25" s="14">
        <v>50</v>
      </c>
      <c r="E25" s="14">
        <v>50</v>
      </c>
      <c r="F25" s="23" t="s">
        <v>11</v>
      </c>
      <c r="G25" s="23" t="s">
        <v>87</v>
      </c>
      <c r="H25" s="14" t="s">
        <v>12</v>
      </c>
      <c r="I25" s="14" t="s">
        <v>13</v>
      </c>
    </row>
    <row r="26" spans="1:9" ht="31.5">
      <c r="A26" s="21">
        <v>45946</v>
      </c>
      <c r="B26" s="14" t="s">
        <v>52</v>
      </c>
      <c r="C26" s="14" t="s">
        <v>14</v>
      </c>
      <c r="D26" s="14">
        <v>55</v>
      </c>
      <c r="E26" s="14">
        <v>60</v>
      </c>
      <c r="F26" s="22" t="s">
        <v>11</v>
      </c>
      <c r="G26" s="23" t="s">
        <v>86</v>
      </c>
      <c r="H26" s="14" t="s">
        <v>12</v>
      </c>
      <c r="I26" s="14" t="s">
        <v>13</v>
      </c>
    </row>
    <row r="27" spans="1:9" ht="31.5">
      <c r="A27" s="21">
        <v>45946</v>
      </c>
      <c r="B27" s="14" t="s">
        <v>53</v>
      </c>
      <c r="C27" s="14" t="s">
        <v>14</v>
      </c>
      <c r="D27" s="14">
        <v>56</v>
      </c>
      <c r="E27" s="14">
        <v>60</v>
      </c>
      <c r="F27" s="22" t="s">
        <v>11</v>
      </c>
      <c r="G27" s="23" t="s">
        <v>86</v>
      </c>
      <c r="H27" s="14" t="s">
        <v>12</v>
      </c>
      <c r="I27" s="14" t="s">
        <v>13</v>
      </c>
    </row>
    <row r="28" spans="1:9" ht="31.5">
      <c r="A28" s="21">
        <v>45946</v>
      </c>
      <c r="B28" s="14" t="s">
        <v>54</v>
      </c>
      <c r="C28" s="14" t="s">
        <v>14</v>
      </c>
      <c r="D28" s="14">
        <v>52</v>
      </c>
      <c r="E28" s="14">
        <v>48</v>
      </c>
      <c r="F28" s="22" t="s">
        <v>11</v>
      </c>
      <c r="G28" s="23" t="s">
        <v>87</v>
      </c>
      <c r="H28" s="14" t="s">
        <v>12</v>
      </c>
      <c r="I28" s="14" t="s">
        <v>13</v>
      </c>
    </row>
    <row r="29" spans="1:9" ht="31.5">
      <c r="A29" s="21">
        <v>45946</v>
      </c>
      <c r="B29" s="14" t="s">
        <v>55</v>
      </c>
      <c r="C29" s="14" t="s">
        <v>14</v>
      </c>
      <c r="D29" s="14">
        <v>68</v>
      </c>
      <c r="E29" s="14">
        <v>45</v>
      </c>
      <c r="F29" s="22" t="s">
        <v>85</v>
      </c>
      <c r="G29" s="23" t="s">
        <v>87</v>
      </c>
      <c r="H29" s="14" t="s">
        <v>12</v>
      </c>
      <c r="I29" s="14" t="s">
        <v>13</v>
      </c>
    </row>
    <row r="30" spans="1:9" ht="30">
      <c r="A30" s="21">
        <v>45946</v>
      </c>
      <c r="B30" s="14" t="s">
        <v>56</v>
      </c>
      <c r="C30" s="14" t="s">
        <v>14</v>
      </c>
      <c r="D30" s="14">
        <v>46</v>
      </c>
      <c r="E30" s="14">
        <v>48</v>
      </c>
      <c r="F30" s="22" t="s">
        <v>83</v>
      </c>
      <c r="G30" s="23" t="s">
        <v>87</v>
      </c>
      <c r="H30" s="14" t="s">
        <v>12</v>
      </c>
      <c r="I30" s="14" t="s">
        <v>13</v>
      </c>
    </row>
    <row r="31" spans="1:9" ht="31.5">
      <c r="A31" s="21">
        <v>45946</v>
      </c>
      <c r="B31" s="14" t="s">
        <v>57</v>
      </c>
      <c r="C31" s="14" t="s">
        <v>14</v>
      </c>
      <c r="D31" s="14">
        <v>58</v>
      </c>
      <c r="E31" s="14">
        <v>63</v>
      </c>
      <c r="F31" s="22" t="s">
        <v>11</v>
      </c>
      <c r="G31" s="23" t="s">
        <v>86</v>
      </c>
      <c r="H31" s="14" t="s">
        <v>12</v>
      </c>
      <c r="I31" s="14" t="s">
        <v>13</v>
      </c>
    </row>
    <row r="32" spans="1:9" ht="31.5">
      <c r="A32" s="21">
        <v>45946</v>
      </c>
      <c r="B32" s="14" t="s">
        <v>58</v>
      </c>
      <c r="C32" s="14" t="s">
        <v>14</v>
      </c>
      <c r="D32" s="14">
        <v>59</v>
      </c>
      <c r="E32" s="14">
        <v>70</v>
      </c>
      <c r="F32" s="22" t="s">
        <v>11</v>
      </c>
      <c r="G32" s="23" t="s">
        <v>86</v>
      </c>
      <c r="H32" s="14" t="s">
        <v>12</v>
      </c>
      <c r="I32" s="14" t="s">
        <v>13</v>
      </c>
    </row>
    <row r="33" spans="1:9" ht="31.5">
      <c r="A33" s="21">
        <v>45946</v>
      </c>
      <c r="B33" s="14" t="s">
        <v>80</v>
      </c>
      <c r="C33" s="14" t="s">
        <v>14</v>
      </c>
      <c r="D33" s="14">
        <v>50</v>
      </c>
      <c r="E33" s="14">
        <v>50</v>
      </c>
      <c r="F33" s="23" t="s">
        <v>11</v>
      </c>
      <c r="G33" s="23" t="s">
        <v>87</v>
      </c>
      <c r="H33" s="14" t="s">
        <v>12</v>
      </c>
      <c r="I33" s="14" t="s">
        <v>13</v>
      </c>
    </row>
    <row r="34" spans="1:9" ht="30">
      <c r="A34" s="21">
        <v>45947</v>
      </c>
      <c r="B34" s="14" t="s">
        <v>9</v>
      </c>
      <c r="C34" s="14" t="s">
        <v>10</v>
      </c>
      <c r="D34" s="14">
        <v>42</v>
      </c>
      <c r="E34" s="14">
        <v>60</v>
      </c>
      <c r="F34" s="22" t="s">
        <v>83</v>
      </c>
      <c r="G34" s="23" t="s">
        <v>86</v>
      </c>
      <c r="H34" s="14" t="s">
        <v>12</v>
      </c>
      <c r="I34" s="14" t="s">
        <v>104</v>
      </c>
    </row>
    <row r="35" spans="1:9" ht="30">
      <c r="A35" s="21">
        <v>45947</v>
      </c>
      <c r="B35" s="14" t="s">
        <v>15</v>
      </c>
      <c r="C35" s="14" t="s">
        <v>10</v>
      </c>
      <c r="D35" s="14">
        <v>55</v>
      </c>
      <c r="E35" s="14">
        <v>65</v>
      </c>
      <c r="F35" s="22" t="s">
        <v>11</v>
      </c>
      <c r="G35" s="23" t="s">
        <v>86</v>
      </c>
      <c r="H35" s="14" t="s">
        <v>12</v>
      </c>
      <c r="I35" s="14" t="s">
        <v>104</v>
      </c>
    </row>
    <row r="36" spans="1:9" ht="30">
      <c r="A36" s="21">
        <v>45947</v>
      </c>
      <c r="B36" s="14" t="s">
        <v>20</v>
      </c>
      <c r="C36" s="14" t="s">
        <v>10</v>
      </c>
      <c r="D36" s="14">
        <v>55</v>
      </c>
      <c r="E36" s="14">
        <v>50</v>
      </c>
      <c r="F36" s="22" t="s">
        <v>11</v>
      </c>
      <c r="G36" s="23" t="s">
        <v>87</v>
      </c>
      <c r="H36" s="14" t="s">
        <v>12</v>
      </c>
      <c r="I36" s="14" t="s">
        <v>104</v>
      </c>
    </row>
    <row r="37" spans="1:9" ht="30">
      <c r="A37" s="21">
        <v>45947</v>
      </c>
      <c r="B37" s="14" t="s">
        <v>47</v>
      </c>
      <c r="C37" s="14" t="s">
        <v>10</v>
      </c>
      <c r="D37" s="14">
        <v>50</v>
      </c>
      <c r="E37" s="14">
        <v>50</v>
      </c>
      <c r="F37" s="23" t="s">
        <v>11</v>
      </c>
      <c r="G37" s="23" t="s">
        <v>87</v>
      </c>
      <c r="H37" s="14" t="s">
        <v>12</v>
      </c>
      <c r="I37" s="14" t="s">
        <v>104</v>
      </c>
    </row>
    <row r="38" spans="1:9" ht="30">
      <c r="A38" s="21">
        <v>45947</v>
      </c>
      <c r="B38" s="14" t="s">
        <v>48</v>
      </c>
      <c r="C38" s="14" t="s">
        <v>10</v>
      </c>
      <c r="D38" s="14">
        <v>10</v>
      </c>
      <c r="E38" s="14">
        <v>60</v>
      </c>
      <c r="F38" s="22" t="s">
        <v>84</v>
      </c>
      <c r="G38" s="23" t="s">
        <v>86</v>
      </c>
      <c r="H38" s="14" t="s">
        <v>12</v>
      </c>
      <c r="I38" s="14" t="s">
        <v>104</v>
      </c>
    </row>
    <row r="39" spans="1:9" ht="30">
      <c r="A39" s="21">
        <v>45947</v>
      </c>
      <c r="B39" s="14" t="s">
        <v>49</v>
      </c>
      <c r="C39" s="14" t="s">
        <v>10</v>
      </c>
      <c r="D39" s="14">
        <v>52</v>
      </c>
      <c r="E39" s="14">
        <v>55</v>
      </c>
      <c r="F39" s="22" t="s">
        <v>11</v>
      </c>
      <c r="G39" s="23" t="s">
        <v>87</v>
      </c>
      <c r="H39" s="14" t="s">
        <v>12</v>
      </c>
      <c r="I39" s="14" t="s">
        <v>104</v>
      </c>
    </row>
    <row r="40" spans="1:9" ht="30">
      <c r="A40" s="21">
        <v>45947</v>
      </c>
      <c r="B40" s="14" t="s">
        <v>50</v>
      </c>
      <c r="C40" s="14" t="s">
        <v>10</v>
      </c>
      <c r="D40" s="14">
        <v>35</v>
      </c>
      <c r="E40" s="14">
        <v>58</v>
      </c>
      <c r="F40" s="22" t="s">
        <v>83</v>
      </c>
      <c r="G40" s="23" t="s">
        <v>87</v>
      </c>
      <c r="H40" s="14" t="s">
        <v>12</v>
      </c>
      <c r="I40" s="14" t="s">
        <v>104</v>
      </c>
    </row>
    <row r="41" spans="1:9" ht="30">
      <c r="A41" s="21">
        <v>45947</v>
      </c>
      <c r="B41" s="14" t="s">
        <v>51</v>
      </c>
      <c r="C41" s="14" t="s">
        <v>10</v>
      </c>
      <c r="D41" s="14">
        <v>48</v>
      </c>
      <c r="E41" s="14">
        <v>50</v>
      </c>
      <c r="F41" s="23" t="s">
        <v>83</v>
      </c>
      <c r="G41" s="23" t="s">
        <v>87</v>
      </c>
      <c r="H41" s="14" t="s">
        <v>12</v>
      </c>
      <c r="I41" s="14" t="s">
        <v>104</v>
      </c>
    </row>
    <row r="42" spans="1:9" ht="30">
      <c r="A42" s="21">
        <v>45947</v>
      </c>
      <c r="B42" s="14" t="s">
        <v>52</v>
      </c>
      <c r="C42" s="14" t="s">
        <v>10</v>
      </c>
      <c r="D42" s="14">
        <v>55</v>
      </c>
      <c r="E42" s="14">
        <v>60</v>
      </c>
      <c r="F42" s="22" t="s">
        <v>11</v>
      </c>
      <c r="G42" s="23" t="s">
        <v>86</v>
      </c>
      <c r="H42" s="14" t="s">
        <v>12</v>
      </c>
      <c r="I42" s="14" t="s">
        <v>104</v>
      </c>
    </row>
    <row r="43" spans="1:9" ht="30">
      <c r="A43" s="21">
        <v>45947</v>
      </c>
      <c r="B43" s="14" t="s">
        <v>53</v>
      </c>
      <c r="C43" s="14" t="s">
        <v>10</v>
      </c>
      <c r="D43" s="14">
        <v>55</v>
      </c>
      <c r="E43" s="14">
        <v>60</v>
      </c>
      <c r="F43" s="22" t="s">
        <v>11</v>
      </c>
      <c r="G43" s="23" t="s">
        <v>86</v>
      </c>
      <c r="H43" s="14" t="s">
        <v>12</v>
      </c>
      <c r="I43" s="14" t="s">
        <v>104</v>
      </c>
    </row>
    <row r="44" spans="1:9" ht="30">
      <c r="A44" s="21">
        <v>45947</v>
      </c>
      <c r="B44" s="14" t="s">
        <v>54</v>
      </c>
      <c r="C44" s="14" t="s">
        <v>10</v>
      </c>
      <c r="D44" s="14">
        <v>40</v>
      </c>
      <c r="E44" s="14">
        <v>50</v>
      </c>
      <c r="F44" s="23" t="s">
        <v>83</v>
      </c>
      <c r="G44" s="23" t="s">
        <v>87</v>
      </c>
      <c r="H44" s="14" t="s">
        <v>12</v>
      </c>
      <c r="I44" s="14" t="s">
        <v>104</v>
      </c>
    </row>
    <row r="45" spans="1:9" ht="30">
      <c r="A45" s="21">
        <v>45947</v>
      </c>
      <c r="B45" s="14" t="s">
        <v>55</v>
      </c>
      <c r="C45" s="14" t="s">
        <v>10</v>
      </c>
      <c r="D45" s="14">
        <v>27</v>
      </c>
      <c r="E45" s="14">
        <v>45</v>
      </c>
      <c r="F45" s="22" t="s">
        <v>89</v>
      </c>
      <c r="G45" s="23" t="s">
        <v>87</v>
      </c>
      <c r="H45" s="14" t="s">
        <v>12</v>
      </c>
      <c r="I45" s="14" t="s">
        <v>104</v>
      </c>
    </row>
    <row r="46" spans="1:9" ht="30">
      <c r="A46" s="21">
        <v>45947</v>
      </c>
      <c r="B46" s="14" t="s">
        <v>56</v>
      </c>
      <c r="C46" s="14" t="s">
        <v>10</v>
      </c>
      <c r="D46" s="14">
        <v>37</v>
      </c>
      <c r="E46" s="14">
        <v>45</v>
      </c>
      <c r="F46" s="22" t="s">
        <v>83</v>
      </c>
      <c r="G46" s="23" t="s">
        <v>87</v>
      </c>
      <c r="H46" s="14" t="s">
        <v>12</v>
      </c>
      <c r="I46" s="14" t="s">
        <v>104</v>
      </c>
    </row>
    <row r="47" spans="1:9" ht="30">
      <c r="A47" s="21">
        <v>45947</v>
      </c>
      <c r="B47" s="14" t="s">
        <v>57</v>
      </c>
      <c r="C47" s="14" t="s">
        <v>10</v>
      </c>
      <c r="D47" s="14">
        <v>60</v>
      </c>
      <c r="E47" s="14">
        <v>65</v>
      </c>
      <c r="F47" s="23" t="s">
        <v>85</v>
      </c>
      <c r="G47" s="23" t="s">
        <v>86</v>
      </c>
      <c r="H47" s="14" t="s">
        <v>12</v>
      </c>
      <c r="I47" s="14" t="s">
        <v>104</v>
      </c>
    </row>
    <row r="48" spans="1:9" ht="30">
      <c r="A48" s="21">
        <v>45947</v>
      </c>
      <c r="B48" s="14" t="s">
        <v>58</v>
      </c>
      <c r="C48" s="14" t="s">
        <v>10</v>
      </c>
      <c r="D48" s="14">
        <v>50</v>
      </c>
      <c r="E48" s="14">
        <v>68</v>
      </c>
      <c r="F48" s="22" t="s">
        <v>11</v>
      </c>
      <c r="G48" s="23" t="s">
        <v>86</v>
      </c>
      <c r="H48" s="14" t="s">
        <v>12</v>
      </c>
      <c r="I48" s="14" t="s">
        <v>104</v>
      </c>
    </row>
    <row r="49" spans="1:9">
      <c r="A49" s="21">
        <v>45947</v>
      </c>
      <c r="B49" s="14" t="s">
        <v>80</v>
      </c>
      <c r="C49" s="14" t="s">
        <v>10</v>
      </c>
      <c r="D49" s="14">
        <v>4</v>
      </c>
      <c r="E49" s="14">
        <v>33</v>
      </c>
      <c r="F49" s="23" t="s">
        <v>84</v>
      </c>
      <c r="G49" s="23" t="s">
        <v>88</v>
      </c>
      <c r="H49" s="14" t="s">
        <v>12</v>
      </c>
      <c r="I49" s="14" t="s">
        <v>104</v>
      </c>
    </row>
    <row r="50" spans="1:9" ht="30">
      <c r="A50" s="21">
        <v>45947</v>
      </c>
      <c r="B50" s="14" t="s">
        <v>9</v>
      </c>
      <c r="C50" s="14" t="s">
        <v>14</v>
      </c>
      <c r="D50" s="14">
        <v>66</v>
      </c>
      <c r="E50" s="14">
        <v>55</v>
      </c>
      <c r="F50" s="22" t="s">
        <v>85</v>
      </c>
      <c r="G50" s="23" t="s">
        <v>87</v>
      </c>
      <c r="H50" s="14" t="s">
        <v>12</v>
      </c>
      <c r="I50" s="14" t="s">
        <v>104</v>
      </c>
    </row>
    <row r="51" spans="1:9" ht="30">
      <c r="A51" s="21">
        <v>45947</v>
      </c>
      <c r="B51" s="14" t="s">
        <v>15</v>
      </c>
      <c r="C51" s="14" t="s">
        <v>14</v>
      </c>
      <c r="D51" s="14">
        <v>60</v>
      </c>
      <c r="E51" s="14">
        <v>62</v>
      </c>
      <c r="F51" s="23" t="s">
        <v>85</v>
      </c>
      <c r="G51" s="23" t="s">
        <v>86</v>
      </c>
      <c r="H51" s="14" t="s">
        <v>12</v>
      </c>
      <c r="I51" s="14" t="s">
        <v>104</v>
      </c>
    </row>
    <row r="52" spans="1:9" ht="30">
      <c r="A52" s="21">
        <v>45947</v>
      </c>
      <c r="B52" s="14" t="s">
        <v>20</v>
      </c>
      <c r="C52" s="14" t="s">
        <v>14</v>
      </c>
      <c r="D52" s="14">
        <v>57</v>
      </c>
      <c r="E52" s="14">
        <v>52</v>
      </c>
      <c r="F52" s="22" t="s">
        <v>11</v>
      </c>
      <c r="G52" s="23" t="s">
        <v>87</v>
      </c>
      <c r="H52" s="14" t="s">
        <v>12</v>
      </c>
      <c r="I52" s="14" t="s">
        <v>104</v>
      </c>
    </row>
    <row r="53" spans="1:9" ht="30">
      <c r="A53" s="21">
        <v>45947</v>
      </c>
      <c r="B53" s="14" t="s">
        <v>47</v>
      </c>
      <c r="C53" s="14" t="s">
        <v>14</v>
      </c>
      <c r="D53" s="14">
        <v>12</v>
      </c>
      <c r="E53" s="14">
        <v>48</v>
      </c>
      <c r="F53" s="23" t="s">
        <v>84</v>
      </c>
      <c r="G53" s="23" t="s">
        <v>87</v>
      </c>
      <c r="H53" s="14" t="s">
        <v>12</v>
      </c>
      <c r="I53" s="14" t="s">
        <v>104</v>
      </c>
    </row>
    <row r="54" spans="1:9" ht="30">
      <c r="A54" s="21">
        <v>45947</v>
      </c>
      <c r="B54" s="14" t="s">
        <v>48</v>
      </c>
      <c r="C54" s="14" t="s">
        <v>14</v>
      </c>
      <c r="D54" s="14">
        <v>33</v>
      </c>
      <c r="E54" s="14">
        <v>64</v>
      </c>
      <c r="F54" s="23" t="s">
        <v>89</v>
      </c>
      <c r="G54" s="23" t="s">
        <v>86</v>
      </c>
      <c r="H54" s="14" t="s">
        <v>12</v>
      </c>
      <c r="I54" s="14" t="s">
        <v>104</v>
      </c>
    </row>
    <row r="55" spans="1:9" ht="30">
      <c r="A55" s="21">
        <v>45947</v>
      </c>
      <c r="B55" s="14" t="s">
        <v>49</v>
      </c>
      <c r="C55" s="14" t="s">
        <v>14</v>
      </c>
      <c r="D55" s="14">
        <v>44</v>
      </c>
      <c r="E55" s="14">
        <v>50</v>
      </c>
      <c r="F55" s="22" t="s">
        <v>83</v>
      </c>
      <c r="G55" s="23" t="s">
        <v>87</v>
      </c>
      <c r="H55" s="14" t="s">
        <v>12</v>
      </c>
      <c r="I55" s="14" t="s">
        <v>104</v>
      </c>
    </row>
    <row r="56" spans="1:9" ht="30">
      <c r="A56" s="21">
        <v>45947</v>
      </c>
      <c r="B56" s="14" t="s">
        <v>50</v>
      </c>
      <c r="C56" s="14" t="s">
        <v>14</v>
      </c>
      <c r="D56" s="14">
        <v>38</v>
      </c>
      <c r="E56" s="14">
        <v>56</v>
      </c>
      <c r="F56" s="22" t="s">
        <v>83</v>
      </c>
      <c r="G56" s="23" t="s">
        <v>87</v>
      </c>
      <c r="H56" s="14" t="s">
        <v>12</v>
      </c>
      <c r="I56" s="14" t="s">
        <v>104</v>
      </c>
    </row>
    <row r="57" spans="1:9" ht="30">
      <c r="A57" s="21">
        <v>45947</v>
      </c>
      <c r="B57" s="14" t="s">
        <v>51</v>
      </c>
      <c r="C57" s="14" t="s">
        <v>14</v>
      </c>
      <c r="D57" s="14">
        <v>50</v>
      </c>
      <c r="E57" s="14">
        <v>50</v>
      </c>
      <c r="F57" s="23" t="s">
        <v>11</v>
      </c>
      <c r="G57" s="23" t="s">
        <v>87</v>
      </c>
      <c r="H57" s="14" t="s">
        <v>12</v>
      </c>
      <c r="I57" s="14" t="s">
        <v>104</v>
      </c>
    </row>
    <row r="58" spans="1:9" ht="30">
      <c r="A58" s="21">
        <v>45947</v>
      </c>
      <c r="B58" s="14" t="s">
        <v>52</v>
      </c>
      <c r="C58" s="14" t="s">
        <v>14</v>
      </c>
      <c r="D58" s="14">
        <v>55</v>
      </c>
      <c r="E58" s="14">
        <v>60</v>
      </c>
      <c r="F58" s="22" t="s">
        <v>11</v>
      </c>
      <c r="G58" s="23" t="s">
        <v>86</v>
      </c>
      <c r="H58" s="14" t="s">
        <v>12</v>
      </c>
      <c r="I58" s="14" t="s">
        <v>104</v>
      </c>
    </row>
    <row r="59" spans="1:9" ht="30">
      <c r="A59" s="21">
        <v>45947</v>
      </c>
      <c r="B59" s="14" t="s">
        <v>53</v>
      </c>
      <c r="C59" s="14" t="s">
        <v>14</v>
      </c>
      <c r="D59" s="14">
        <v>56</v>
      </c>
      <c r="E59" s="14">
        <v>60</v>
      </c>
      <c r="F59" s="22" t="s">
        <v>11</v>
      </c>
      <c r="G59" s="23" t="s">
        <v>86</v>
      </c>
      <c r="H59" s="14" t="s">
        <v>12</v>
      </c>
      <c r="I59" s="14" t="s">
        <v>104</v>
      </c>
    </row>
    <row r="60" spans="1:9" ht="30">
      <c r="A60" s="21">
        <v>45947</v>
      </c>
      <c r="B60" s="14" t="s">
        <v>54</v>
      </c>
      <c r="C60" s="14" t="s">
        <v>14</v>
      </c>
      <c r="D60" s="14">
        <v>52</v>
      </c>
      <c r="E60" s="14">
        <v>48</v>
      </c>
      <c r="F60" s="22" t="s">
        <v>11</v>
      </c>
      <c r="G60" s="23" t="s">
        <v>87</v>
      </c>
      <c r="H60" s="14" t="s">
        <v>12</v>
      </c>
      <c r="I60" s="14" t="s">
        <v>104</v>
      </c>
    </row>
    <row r="61" spans="1:9" ht="30">
      <c r="A61" s="21">
        <v>45947</v>
      </c>
      <c r="B61" s="14" t="s">
        <v>55</v>
      </c>
      <c r="C61" s="14" t="s">
        <v>14</v>
      </c>
      <c r="D61" s="14">
        <v>68</v>
      </c>
      <c r="E61" s="14">
        <v>45</v>
      </c>
      <c r="F61" s="22" t="s">
        <v>85</v>
      </c>
      <c r="G61" s="23" t="s">
        <v>87</v>
      </c>
      <c r="H61" s="14" t="s">
        <v>12</v>
      </c>
      <c r="I61" s="14" t="s">
        <v>104</v>
      </c>
    </row>
    <row r="62" spans="1:9" ht="30">
      <c r="A62" s="21">
        <v>45947</v>
      </c>
      <c r="B62" s="14" t="s">
        <v>56</v>
      </c>
      <c r="C62" s="14" t="s">
        <v>14</v>
      </c>
      <c r="D62" s="14">
        <v>46</v>
      </c>
      <c r="E62" s="14">
        <v>48</v>
      </c>
      <c r="F62" s="22" t="s">
        <v>83</v>
      </c>
      <c r="G62" s="23" t="s">
        <v>87</v>
      </c>
      <c r="H62" s="14" t="s">
        <v>12</v>
      </c>
      <c r="I62" s="14" t="s">
        <v>104</v>
      </c>
    </row>
    <row r="63" spans="1:9" ht="30">
      <c r="A63" s="21">
        <v>45947</v>
      </c>
      <c r="B63" s="14" t="s">
        <v>57</v>
      </c>
      <c r="C63" s="14" t="s">
        <v>14</v>
      </c>
      <c r="D63" s="14">
        <v>58</v>
      </c>
      <c r="E63" s="14">
        <v>63</v>
      </c>
      <c r="F63" s="22" t="s">
        <v>11</v>
      </c>
      <c r="G63" s="23" t="s">
        <v>86</v>
      </c>
      <c r="H63" s="14" t="s">
        <v>12</v>
      </c>
      <c r="I63" s="14" t="s">
        <v>104</v>
      </c>
    </row>
    <row r="64" spans="1:9" ht="30">
      <c r="A64" s="21">
        <v>45947</v>
      </c>
      <c r="B64" s="14" t="s">
        <v>58</v>
      </c>
      <c r="C64" s="14" t="s">
        <v>14</v>
      </c>
      <c r="D64" s="14">
        <v>59</v>
      </c>
      <c r="E64" s="14">
        <v>70</v>
      </c>
      <c r="F64" s="22" t="s">
        <v>11</v>
      </c>
      <c r="G64" s="23" t="s">
        <v>86</v>
      </c>
      <c r="H64" s="14" t="s">
        <v>12</v>
      </c>
      <c r="I64" s="14" t="s">
        <v>104</v>
      </c>
    </row>
    <row r="65" spans="1:9" ht="30">
      <c r="A65" s="21">
        <v>45947</v>
      </c>
      <c r="B65" s="14" t="s">
        <v>80</v>
      </c>
      <c r="C65" s="14" t="s">
        <v>14</v>
      </c>
      <c r="D65" s="14">
        <v>50</v>
      </c>
      <c r="E65" s="14">
        <v>50</v>
      </c>
      <c r="F65" s="23" t="s">
        <v>11</v>
      </c>
      <c r="G65" s="23" t="s">
        <v>87</v>
      </c>
      <c r="H65" s="14" t="s">
        <v>12</v>
      </c>
      <c r="I65" s="14" t="s">
        <v>104</v>
      </c>
    </row>
    <row r="68" spans="1:9">
      <c r="A68" t="s">
        <v>299</v>
      </c>
      <c r="B68" t="s">
        <v>9</v>
      </c>
      <c r="C68" t="s">
        <v>10</v>
      </c>
      <c r="D68">
        <v>45</v>
      </c>
      <c r="E68">
        <v>62</v>
      </c>
      <c r="F68" t="s">
        <v>83</v>
      </c>
      <c r="G68" t="s">
        <v>86</v>
      </c>
      <c r="H68" t="s">
        <v>12</v>
      </c>
      <c r="I68" t="s">
        <v>298</v>
      </c>
    </row>
    <row r="69" spans="1:9">
      <c r="A69" t="s">
        <v>299</v>
      </c>
      <c r="B69" t="s">
        <v>15</v>
      </c>
      <c r="C69" t="s">
        <v>10</v>
      </c>
      <c r="D69">
        <v>55</v>
      </c>
      <c r="E69">
        <v>65</v>
      </c>
      <c r="F69" t="s">
        <v>11</v>
      </c>
      <c r="G69" t="s">
        <v>86</v>
      </c>
      <c r="H69" t="s">
        <v>12</v>
      </c>
      <c r="I69" t="s">
        <v>298</v>
      </c>
    </row>
    <row r="70" spans="1:9">
      <c r="A70" t="s">
        <v>299</v>
      </c>
      <c r="B70" t="s">
        <v>20</v>
      </c>
      <c r="C70" t="s">
        <v>10</v>
      </c>
      <c r="D70">
        <v>60</v>
      </c>
      <c r="E70">
        <v>54</v>
      </c>
      <c r="F70" t="s">
        <v>11</v>
      </c>
      <c r="G70" t="s">
        <v>87</v>
      </c>
      <c r="H70" t="s">
        <v>12</v>
      </c>
      <c r="I70" t="s">
        <v>298</v>
      </c>
    </row>
    <row r="71" spans="1:9">
      <c r="A71" t="s">
        <v>299</v>
      </c>
      <c r="B71" t="s">
        <v>47</v>
      </c>
      <c r="C71" t="s">
        <v>10</v>
      </c>
      <c r="D71">
        <v>44</v>
      </c>
      <c r="E71">
        <v>46</v>
      </c>
      <c r="F71" t="s">
        <v>83</v>
      </c>
      <c r="G71" t="s">
        <v>87</v>
      </c>
      <c r="H71" t="s">
        <v>12</v>
      </c>
      <c r="I71" t="s">
        <v>298</v>
      </c>
    </row>
    <row r="72" spans="1:9">
      <c r="A72" t="s">
        <v>299</v>
      </c>
      <c r="B72" t="s">
        <v>48</v>
      </c>
      <c r="C72" t="s">
        <v>10</v>
      </c>
      <c r="D72">
        <v>10</v>
      </c>
      <c r="E72">
        <v>60</v>
      </c>
      <c r="F72" t="s">
        <v>84</v>
      </c>
      <c r="G72" t="s">
        <v>86</v>
      </c>
      <c r="H72" t="s">
        <v>12</v>
      </c>
      <c r="I72" t="s">
        <v>298</v>
      </c>
    </row>
    <row r="73" spans="1:9">
      <c r="A73" t="s">
        <v>299</v>
      </c>
      <c r="B73" t="s">
        <v>49</v>
      </c>
      <c r="C73" t="s">
        <v>10</v>
      </c>
      <c r="D73">
        <v>58</v>
      </c>
      <c r="E73">
        <v>60</v>
      </c>
      <c r="F73" t="s">
        <v>11</v>
      </c>
      <c r="G73" t="s">
        <v>86</v>
      </c>
      <c r="H73" t="s">
        <v>12</v>
      </c>
      <c r="I73" t="s">
        <v>298</v>
      </c>
    </row>
    <row r="74" spans="1:9">
      <c r="A74" t="s">
        <v>299</v>
      </c>
      <c r="B74" t="s">
        <v>50</v>
      </c>
      <c r="C74" t="s">
        <v>10</v>
      </c>
      <c r="D74">
        <v>37</v>
      </c>
      <c r="E74">
        <v>59</v>
      </c>
      <c r="F74" t="s">
        <v>83</v>
      </c>
      <c r="G74" t="s">
        <v>86</v>
      </c>
      <c r="H74" t="s">
        <v>12</v>
      </c>
      <c r="I74" t="s">
        <v>298</v>
      </c>
    </row>
    <row r="75" spans="1:9">
      <c r="A75" t="s">
        <v>299</v>
      </c>
      <c r="B75" t="s">
        <v>51</v>
      </c>
      <c r="C75" t="s">
        <v>10</v>
      </c>
      <c r="D75">
        <v>48</v>
      </c>
      <c r="E75">
        <v>50</v>
      </c>
      <c r="F75" t="s">
        <v>83</v>
      </c>
      <c r="G75" t="s">
        <v>87</v>
      </c>
      <c r="H75" t="s">
        <v>12</v>
      </c>
      <c r="I75" t="s">
        <v>298</v>
      </c>
    </row>
    <row r="76" spans="1:9">
      <c r="A76" t="s">
        <v>299</v>
      </c>
      <c r="B76" t="s">
        <v>52</v>
      </c>
      <c r="C76" t="s">
        <v>10</v>
      </c>
      <c r="D76">
        <v>59</v>
      </c>
      <c r="E76">
        <v>63</v>
      </c>
      <c r="F76" t="s">
        <v>11</v>
      </c>
      <c r="G76" t="s">
        <v>86</v>
      </c>
      <c r="H76" t="s">
        <v>12</v>
      </c>
      <c r="I76" t="s">
        <v>298</v>
      </c>
    </row>
    <row r="77" spans="1:9">
      <c r="A77" t="s">
        <v>299</v>
      </c>
      <c r="B77" t="s">
        <v>53</v>
      </c>
      <c r="C77" t="s">
        <v>10</v>
      </c>
      <c r="D77">
        <v>59</v>
      </c>
      <c r="E77">
        <v>63</v>
      </c>
      <c r="F77" t="s">
        <v>11</v>
      </c>
      <c r="G77" t="s">
        <v>86</v>
      </c>
      <c r="H77" t="s">
        <v>12</v>
      </c>
      <c r="I77" t="s">
        <v>298</v>
      </c>
    </row>
    <row r="78" spans="1:9">
      <c r="A78" t="s">
        <v>299</v>
      </c>
      <c r="B78" t="s">
        <v>54</v>
      </c>
      <c r="C78" t="s">
        <v>10</v>
      </c>
      <c r="D78">
        <v>43</v>
      </c>
      <c r="E78">
        <v>52</v>
      </c>
      <c r="F78" t="s">
        <v>83</v>
      </c>
      <c r="G78" t="s">
        <v>87</v>
      </c>
      <c r="H78" t="s">
        <v>12</v>
      </c>
      <c r="I78" t="s">
        <v>298</v>
      </c>
    </row>
    <row r="79" spans="1:9">
      <c r="A79" t="s">
        <v>299</v>
      </c>
      <c r="B79" t="s">
        <v>55</v>
      </c>
      <c r="C79" t="s">
        <v>10</v>
      </c>
      <c r="D79">
        <v>20</v>
      </c>
      <c r="E79">
        <v>40</v>
      </c>
      <c r="F79" t="s">
        <v>89</v>
      </c>
      <c r="G79" t="s">
        <v>87</v>
      </c>
      <c r="H79" t="s">
        <v>12</v>
      </c>
      <c r="I79" t="s">
        <v>298</v>
      </c>
    </row>
    <row r="80" spans="1:9">
      <c r="A80" t="s">
        <v>299</v>
      </c>
      <c r="B80" t="s">
        <v>56</v>
      </c>
      <c r="C80" t="s">
        <v>10</v>
      </c>
      <c r="D80">
        <v>39</v>
      </c>
      <c r="E80">
        <v>46</v>
      </c>
      <c r="F80" t="s">
        <v>83</v>
      </c>
      <c r="G80" t="s">
        <v>87</v>
      </c>
      <c r="H80" t="s">
        <v>12</v>
      </c>
      <c r="I80" t="s">
        <v>298</v>
      </c>
    </row>
    <row r="81" spans="1:9">
      <c r="A81" t="s">
        <v>299</v>
      </c>
      <c r="B81" t="s">
        <v>57</v>
      </c>
      <c r="C81" t="s">
        <v>10</v>
      </c>
      <c r="D81">
        <v>60</v>
      </c>
      <c r="E81">
        <v>65</v>
      </c>
      <c r="F81" t="s">
        <v>85</v>
      </c>
      <c r="G81" t="s">
        <v>86</v>
      </c>
      <c r="H81" t="s">
        <v>12</v>
      </c>
      <c r="I81" t="s">
        <v>298</v>
      </c>
    </row>
    <row r="82" spans="1:9">
      <c r="A82" t="s">
        <v>299</v>
      </c>
      <c r="B82" t="s">
        <v>58</v>
      </c>
      <c r="C82" t="s">
        <v>10</v>
      </c>
      <c r="D82">
        <v>55</v>
      </c>
      <c r="E82">
        <v>72</v>
      </c>
      <c r="F82" t="s">
        <v>11</v>
      </c>
      <c r="G82" t="s">
        <v>86</v>
      </c>
      <c r="H82" t="s">
        <v>12</v>
      </c>
      <c r="I82" t="s">
        <v>298</v>
      </c>
    </row>
    <row r="83" spans="1:9">
      <c r="A83" t="s">
        <v>299</v>
      </c>
      <c r="B83" t="s">
        <v>80</v>
      </c>
      <c r="C83" t="s">
        <v>10</v>
      </c>
      <c r="D83">
        <v>0</v>
      </c>
      <c r="E83">
        <v>30</v>
      </c>
      <c r="F83" t="s">
        <v>84</v>
      </c>
      <c r="G83" t="s">
        <v>88</v>
      </c>
      <c r="H83" t="s">
        <v>12</v>
      </c>
      <c r="I83" t="s">
        <v>298</v>
      </c>
    </row>
    <row r="84" spans="1:9">
      <c r="A84" t="s">
        <v>299</v>
      </c>
      <c r="B84" t="s">
        <v>9</v>
      </c>
      <c r="C84" t="s">
        <v>14</v>
      </c>
      <c r="D84">
        <v>62</v>
      </c>
      <c r="E84">
        <v>52</v>
      </c>
      <c r="F84" t="s">
        <v>85</v>
      </c>
      <c r="G84" t="s">
        <v>87</v>
      </c>
      <c r="H84" t="s">
        <v>12</v>
      </c>
      <c r="I84" t="s">
        <v>298</v>
      </c>
    </row>
    <row r="85" spans="1:9">
      <c r="A85" t="s">
        <v>299</v>
      </c>
      <c r="B85" t="s">
        <v>15</v>
      </c>
      <c r="C85" t="s">
        <v>14</v>
      </c>
      <c r="D85">
        <v>60</v>
      </c>
      <c r="E85">
        <v>62</v>
      </c>
      <c r="F85" t="s">
        <v>85</v>
      </c>
      <c r="G85" t="s">
        <v>86</v>
      </c>
      <c r="H85" t="s">
        <v>12</v>
      </c>
      <c r="I85" t="s">
        <v>298</v>
      </c>
    </row>
    <row r="86" spans="1:9">
      <c r="A86" t="s">
        <v>299</v>
      </c>
      <c r="B86" t="s">
        <v>20</v>
      </c>
      <c r="C86" t="s">
        <v>14</v>
      </c>
      <c r="D86">
        <v>50</v>
      </c>
      <c r="E86">
        <v>46</v>
      </c>
      <c r="F86" t="s">
        <v>11</v>
      </c>
      <c r="G86" t="s">
        <v>87</v>
      </c>
      <c r="H86" t="s">
        <v>12</v>
      </c>
      <c r="I86" t="s">
        <v>298</v>
      </c>
    </row>
    <row r="87" spans="1:9">
      <c r="A87" t="s">
        <v>299</v>
      </c>
      <c r="B87" t="s">
        <v>47</v>
      </c>
      <c r="C87" t="s">
        <v>14</v>
      </c>
      <c r="D87">
        <v>19</v>
      </c>
      <c r="E87">
        <v>53</v>
      </c>
      <c r="F87" t="s">
        <v>84</v>
      </c>
      <c r="G87" t="s">
        <v>87</v>
      </c>
      <c r="H87" t="s">
        <v>12</v>
      </c>
      <c r="I87" t="s">
        <v>298</v>
      </c>
    </row>
    <row r="88" spans="1:9">
      <c r="A88" t="s">
        <v>299</v>
      </c>
      <c r="B88" t="s">
        <v>48</v>
      </c>
      <c r="C88" t="s">
        <v>14</v>
      </c>
      <c r="D88">
        <v>33</v>
      </c>
      <c r="E88">
        <v>64</v>
      </c>
      <c r="F88" t="s">
        <v>89</v>
      </c>
      <c r="G88" t="s">
        <v>86</v>
      </c>
      <c r="H88" t="s">
        <v>12</v>
      </c>
      <c r="I88" t="s">
        <v>298</v>
      </c>
    </row>
    <row r="89" spans="1:9">
      <c r="A89" t="s">
        <v>299</v>
      </c>
      <c r="B89" t="s">
        <v>49</v>
      </c>
      <c r="C89" t="s">
        <v>14</v>
      </c>
      <c r="D89">
        <v>40</v>
      </c>
      <c r="E89">
        <v>47</v>
      </c>
      <c r="F89" t="s">
        <v>11</v>
      </c>
      <c r="G89" t="s">
        <v>87</v>
      </c>
      <c r="H89" t="s">
        <v>12</v>
      </c>
      <c r="I89" t="s">
        <v>298</v>
      </c>
    </row>
    <row r="90" spans="1:9">
      <c r="A90" t="s">
        <v>299</v>
      </c>
      <c r="B90" t="s">
        <v>50</v>
      </c>
      <c r="C90" t="s">
        <v>14</v>
      </c>
      <c r="D90">
        <v>41</v>
      </c>
      <c r="E90">
        <v>58</v>
      </c>
      <c r="F90" t="s">
        <v>83</v>
      </c>
      <c r="G90" t="s">
        <v>86</v>
      </c>
      <c r="H90" t="s">
        <v>12</v>
      </c>
      <c r="I90" t="s">
        <v>298</v>
      </c>
    </row>
    <row r="91" spans="1:9">
      <c r="A91" t="s">
        <v>299</v>
      </c>
      <c r="B91" t="s">
        <v>51</v>
      </c>
      <c r="C91" t="s">
        <v>14</v>
      </c>
      <c r="D91">
        <v>50</v>
      </c>
      <c r="E91">
        <v>50</v>
      </c>
      <c r="F91" t="s">
        <v>11</v>
      </c>
      <c r="G91" t="s">
        <v>87</v>
      </c>
      <c r="H91" t="s">
        <v>12</v>
      </c>
      <c r="I91" t="s">
        <v>298</v>
      </c>
    </row>
    <row r="92" spans="1:9">
      <c r="A92" t="s">
        <v>299</v>
      </c>
      <c r="B92" t="s">
        <v>52</v>
      </c>
      <c r="C92" t="s">
        <v>14</v>
      </c>
      <c r="D92">
        <v>49</v>
      </c>
      <c r="E92">
        <v>55</v>
      </c>
      <c r="F92" t="s">
        <v>11</v>
      </c>
      <c r="G92" t="s">
        <v>87</v>
      </c>
      <c r="H92" t="s">
        <v>12</v>
      </c>
      <c r="I92" t="s">
        <v>298</v>
      </c>
    </row>
    <row r="93" spans="1:9">
      <c r="A93" t="s">
        <v>299</v>
      </c>
      <c r="B93" t="s">
        <v>53</v>
      </c>
      <c r="C93" t="s">
        <v>14</v>
      </c>
      <c r="D93">
        <v>50</v>
      </c>
      <c r="E93">
        <v>55</v>
      </c>
      <c r="F93" t="s">
        <v>11</v>
      </c>
      <c r="G93" t="s">
        <v>87</v>
      </c>
      <c r="H93" t="s">
        <v>12</v>
      </c>
      <c r="I93" t="s">
        <v>298</v>
      </c>
    </row>
    <row r="94" spans="1:9">
      <c r="A94" t="s">
        <v>299</v>
      </c>
      <c r="B94" t="s">
        <v>54</v>
      </c>
      <c r="C94" t="s">
        <v>14</v>
      </c>
      <c r="D94">
        <v>48</v>
      </c>
      <c r="E94">
        <v>45</v>
      </c>
      <c r="F94" t="s">
        <v>11</v>
      </c>
      <c r="G94" t="s">
        <v>87</v>
      </c>
      <c r="H94" t="s">
        <v>12</v>
      </c>
      <c r="I94" t="s">
        <v>298</v>
      </c>
    </row>
    <row r="95" spans="1:9">
      <c r="A95" t="s">
        <v>299</v>
      </c>
      <c r="B95" t="s">
        <v>55</v>
      </c>
      <c r="C95" t="s">
        <v>14</v>
      </c>
      <c r="D95">
        <v>76</v>
      </c>
      <c r="E95">
        <v>51</v>
      </c>
      <c r="F95" t="s">
        <v>85</v>
      </c>
      <c r="G95" t="s">
        <v>86</v>
      </c>
      <c r="H95" t="s">
        <v>12</v>
      </c>
      <c r="I95" t="s">
        <v>298</v>
      </c>
    </row>
    <row r="96" spans="1:9">
      <c r="A96" t="s">
        <v>299</v>
      </c>
      <c r="B96" t="s">
        <v>56</v>
      </c>
      <c r="C96" t="s">
        <v>14</v>
      </c>
      <c r="D96">
        <v>44</v>
      </c>
      <c r="E96">
        <v>47</v>
      </c>
      <c r="F96" t="s">
        <v>83</v>
      </c>
      <c r="G96" t="s">
        <v>87</v>
      </c>
      <c r="H96" t="s">
        <v>12</v>
      </c>
      <c r="I96" t="s">
        <v>298</v>
      </c>
    </row>
    <row r="97" spans="1:9">
      <c r="A97" t="s">
        <v>299</v>
      </c>
      <c r="B97" t="s">
        <v>57</v>
      </c>
      <c r="C97" t="s">
        <v>14</v>
      </c>
      <c r="D97">
        <v>58</v>
      </c>
      <c r="E97">
        <v>63</v>
      </c>
      <c r="F97" t="s">
        <v>11</v>
      </c>
      <c r="G97" t="s">
        <v>86</v>
      </c>
      <c r="H97" t="s">
        <v>12</v>
      </c>
      <c r="I97" t="s">
        <v>298</v>
      </c>
    </row>
    <row r="98" spans="1:9">
      <c r="A98" t="s">
        <v>299</v>
      </c>
      <c r="B98" t="s">
        <v>58</v>
      </c>
      <c r="C98" t="s">
        <v>14</v>
      </c>
      <c r="D98">
        <v>61</v>
      </c>
      <c r="E98">
        <v>72</v>
      </c>
      <c r="F98" t="s">
        <v>11</v>
      </c>
      <c r="G98" t="s">
        <v>86</v>
      </c>
      <c r="H98" t="s">
        <v>12</v>
      </c>
      <c r="I98" t="s">
        <v>298</v>
      </c>
    </row>
    <row r="99" spans="1:9">
      <c r="A99" t="s">
        <v>299</v>
      </c>
      <c r="B99" t="s">
        <v>80</v>
      </c>
      <c r="C99" t="s">
        <v>14</v>
      </c>
      <c r="D99">
        <v>55</v>
      </c>
      <c r="E99">
        <v>54</v>
      </c>
      <c r="F99" t="s">
        <v>11</v>
      </c>
      <c r="G99" t="s">
        <v>87</v>
      </c>
      <c r="H99" t="s">
        <v>12</v>
      </c>
      <c r="I99" t="s">
        <v>298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B1" sqref="B1"/>
    </sheetView>
  </sheetViews>
  <sheetFormatPr defaultRowHeight="15"/>
  <cols>
    <col min="1" max="1" width="10.28515625" customWidth="1"/>
    <col min="2" max="2" width="40.28515625" bestFit="1" customWidth="1"/>
    <col min="3" max="3" width="34.140625" bestFit="1" customWidth="1"/>
    <col min="4" max="4" width="17.7109375" customWidth="1"/>
  </cols>
  <sheetData>
    <row r="1" spans="1:6">
      <c r="A1" s="6" t="s">
        <v>1</v>
      </c>
      <c r="B1" s="13" t="s">
        <v>16</v>
      </c>
      <c r="C1" s="7" t="s">
        <v>17</v>
      </c>
      <c r="D1" s="8" t="s">
        <v>18</v>
      </c>
      <c r="F1" t="str" cm="1">
        <f t="array" ref="F1:F16">_xlfn._xlws.SORT(_xlfn.UNIQUE(tblActors[nome]))</f>
        <v>AIEA</v>
      </c>
    </row>
    <row r="2" spans="1:6">
      <c r="A2" s="5" t="s">
        <v>9</v>
      </c>
      <c r="B2" s="2" t="s">
        <v>59</v>
      </c>
      <c r="C2" s="2" t="s">
        <v>19</v>
      </c>
      <c r="D2" s="4"/>
      <c r="F2" t="str">
        <v>APAV (Assoc. de Produtores de VERMELHO)</v>
      </c>
    </row>
    <row r="3" spans="1:6" ht="15.75">
      <c r="A3" s="5" t="s">
        <v>15</v>
      </c>
      <c r="B3" s="2" t="s">
        <v>60</v>
      </c>
      <c r="C3" s="3" t="s">
        <v>71</v>
      </c>
      <c r="D3" s="4"/>
      <c r="F3" t="str">
        <v>CINZA</v>
      </c>
    </row>
    <row r="4" spans="1:6" ht="15.75">
      <c r="A4" s="5" t="s">
        <v>20</v>
      </c>
      <c r="B4" s="2" t="s">
        <v>61</v>
      </c>
      <c r="C4" s="3" t="s">
        <v>62</v>
      </c>
      <c r="D4" s="4"/>
      <c r="F4" t="str">
        <v>CSOI</v>
      </c>
    </row>
    <row r="5" spans="1:6" ht="15.75">
      <c r="A5" s="5" t="s">
        <v>47</v>
      </c>
      <c r="B5" s="2" t="s">
        <v>63</v>
      </c>
      <c r="C5" s="3" t="s">
        <v>82</v>
      </c>
      <c r="D5" s="4"/>
      <c r="F5" t="str">
        <v>Descendentes de CHUMBO em TOPÁZIO</v>
      </c>
    </row>
    <row r="6" spans="1:6" ht="15.75">
      <c r="A6" s="5" t="s">
        <v>48</v>
      </c>
      <c r="B6" s="2" t="s">
        <v>64</v>
      </c>
      <c r="C6" s="3" t="s">
        <v>65</v>
      </c>
      <c r="D6" s="4"/>
      <c r="F6" t="str">
        <v xml:space="preserve">ESCURO </v>
      </c>
    </row>
    <row r="7" spans="1:6" ht="15.75">
      <c r="A7" s="5" t="s">
        <v>49</v>
      </c>
      <c r="B7" s="2" t="s">
        <v>66</v>
      </c>
      <c r="C7" s="3" t="s">
        <v>67</v>
      </c>
      <c r="D7" s="4"/>
      <c r="F7" t="str">
        <v>FILTO</v>
      </c>
    </row>
    <row r="8" spans="1:6" ht="15.75">
      <c r="A8" s="5" t="s">
        <v>50</v>
      </c>
      <c r="B8" s="2" t="s">
        <v>68</v>
      </c>
      <c r="C8" s="3" t="s">
        <v>69</v>
      </c>
      <c r="D8" s="4"/>
      <c r="F8" t="str">
        <v>GELO</v>
      </c>
    </row>
    <row r="9" spans="1:6" ht="15.75">
      <c r="A9" s="5" t="s">
        <v>51</v>
      </c>
      <c r="B9" s="2" t="s">
        <v>70</v>
      </c>
      <c r="C9" s="3" t="s">
        <v>62</v>
      </c>
      <c r="D9" s="4"/>
      <c r="F9" t="str">
        <v>MARROM</v>
      </c>
    </row>
    <row r="10" spans="1:6" ht="15.75">
      <c r="A10" s="5" t="s">
        <v>52</v>
      </c>
      <c r="B10" s="2" t="s">
        <v>72</v>
      </c>
      <c r="C10" s="3" t="s">
        <v>71</v>
      </c>
      <c r="D10" s="4"/>
      <c r="F10" t="str">
        <v>MPL</v>
      </c>
    </row>
    <row r="11" spans="1:6" ht="15.75">
      <c r="A11" s="5" t="s">
        <v>53</v>
      </c>
      <c r="B11" s="2" t="s">
        <v>73</v>
      </c>
      <c r="C11" s="3" t="s">
        <v>71</v>
      </c>
      <c r="D11" s="4"/>
      <c r="F11" t="str">
        <v>ONGs no TO</v>
      </c>
    </row>
    <row r="12" spans="1:6" ht="15.75">
      <c r="A12" s="5" t="s">
        <v>54</v>
      </c>
      <c r="B12" s="2" t="s">
        <v>74</v>
      </c>
      <c r="C12" s="3" t="s">
        <v>19</v>
      </c>
      <c r="D12" s="4"/>
      <c r="F12" t="str">
        <v>PCS</v>
      </c>
    </row>
    <row r="13" spans="1:6" ht="15.75">
      <c r="A13" s="5" t="s">
        <v>55</v>
      </c>
      <c r="B13" s="2" t="s">
        <v>75</v>
      </c>
      <c r="C13" s="3" t="s">
        <v>67</v>
      </c>
      <c r="D13" s="4"/>
      <c r="F13" t="str">
        <v>PDC</v>
      </c>
    </row>
    <row r="14" spans="1:6" ht="15.75">
      <c r="A14" s="5" t="s">
        <v>56</v>
      </c>
      <c r="B14" s="2" t="s">
        <v>76</v>
      </c>
      <c r="C14" s="3" t="s">
        <v>67</v>
      </c>
      <c r="D14" s="4"/>
      <c r="F14" t="str">
        <v>População AZULINA</v>
      </c>
    </row>
    <row r="15" spans="1:6" ht="15.75">
      <c r="A15" s="5" t="s">
        <v>57</v>
      </c>
      <c r="B15" s="2" t="s">
        <v>77</v>
      </c>
      <c r="C15" s="3" t="s">
        <v>71</v>
      </c>
      <c r="D15" s="4"/>
      <c r="F15" t="str">
        <v xml:space="preserve">SOWETO VERMELHO </v>
      </c>
    </row>
    <row r="16" spans="1:6" ht="15.75">
      <c r="A16" s="5" t="s">
        <v>58</v>
      </c>
      <c r="B16" s="2" t="s">
        <v>78</v>
      </c>
      <c r="C16" s="3" t="s">
        <v>79</v>
      </c>
      <c r="D16" s="4"/>
      <c r="F16" t="str">
        <v>VERMELHINOS</v>
      </c>
    </row>
    <row r="17" spans="1:4" ht="15.75">
      <c r="A17" s="9" t="s">
        <v>80</v>
      </c>
      <c r="B17" s="10" t="s">
        <v>81</v>
      </c>
      <c r="C17" s="11" t="s">
        <v>82</v>
      </c>
      <c r="D17" s="12"/>
    </row>
  </sheetData>
  <phoneticPr fontId="2" type="noConversion"/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5"/>
  <sheetViews>
    <sheetView topLeftCell="A4" workbookViewId="0">
      <selection activeCell="B9" sqref="B9"/>
    </sheetView>
  </sheetViews>
  <sheetFormatPr defaultRowHeight="15"/>
  <cols>
    <col min="1" max="1" width="12.7109375" bestFit="1" customWidth="1"/>
    <col min="2" max="2" width="18.28515625" bestFit="1" customWidth="1"/>
    <col min="3" max="3" width="28" style="15" bestFit="1" customWidth="1"/>
    <col min="4" max="4" width="51" style="15" customWidth="1"/>
    <col min="5" max="5" width="16.140625" style="15" bestFit="1" customWidth="1"/>
    <col min="6" max="6" width="20.28515625" style="15" bestFit="1" customWidth="1"/>
    <col min="7" max="7" width="9.140625" style="15"/>
    <col min="8" max="8" width="18.42578125" style="15" customWidth="1"/>
  </cols>
  <sheetData>
    <row r="1" spans="1:8">
      <c r="A1" s="7" t="s">
        <v>21</v>
      </c>
      <c r="B1" s="7" t="s">
        <v>0</v>
      </c>
      <c r="C1" s="16" t="s">
        <v>22</v>
      </c>
      <c r="D1" s="16" t="s">
        <v>23</v>
      </c>
      <c r="E1" s="16" t="s">
        <v>17</v>
      </c>
      <c r="F1" s="16" t="s">
        <v>24</v>
      </c>
      <c r="G1" s="16" t="s">
        <v>25</v>
      </c>
      <c r="H1" s="16" t="s">
        <v>26</v>
      </c>
    </row>
    <row r="2" spans="1:8">
      <c r="A2" t="s">
        <v>27</v>
      </c>
      <c r="B2" s="1">
        <v>45946</v>
      </c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10</v>
      </c>
    </row>
    <row r="3" spans="1:8">
      <c r="A3" t="s">
        <v>33</v>
      </c>
      <c r="B3" s="1">
        <v>45946</v>
      </c>
      <c r="C3" s="15" t="s">
        <v>34</v>
      </c>
      <c r="D3" s="15" t="s">
        <v>35</v>
      </c>
      <c r="E3" s="15" t="s">
        <v>36</v>
      </c>
      <c r="F3" s="15" t="s">
        <v>37</v>
      </c>
      <c r="G3" s="15" t="s">
        <v>38</v>
      </c>
      <c r="H3" s="15" t="s">
        <v>10</v>
      </c>
    </row>
    <row r="4" spans="1:8" ht="30">
      <c r="A4" t="s">
        <v>90</v>
      </c>
      <c r="B4" s="1">
        <v>45947</v>
      </c>
      <c r="C4" s="15" t="s">
        <v>95</v>
      </c>
      <c r="D4" s="15" t="s">
        <v>95</v>
      </c>
      <c r="E4" s="15" t="s">
        <v>96</v>
      </c>
      <c r="F4" s="15" t="s">
        <v>97</v>
      </c>
      <c r="G4" s="15" t="s">
        <v>98</v>
      </c>
      <c r="H4" s="15" t="s">
        <v>10</v>
      </c>
    </row>
    <row r="5" spans="1:8">
      <c r="A5" t="s">
        <v>91</v>
      </c>
    </row>
    <row r="6" spans="1:8">
      <c r="A6" t="s">
        <v>92</v>
      </c>
    </row>
    <row r="7" spans="1:8">
      <c r="A7" t="s">
        <v>93</v>
      </c>
    </row>
    <row r="8" spans="1:8">
      <c r="A8" t="s">
        <v>94</v>
      </c>
    </row>
    <row r="9" spans="1:8" ht="129">
      <c r="A9" t="s">
        <v>110</v>
      </c>
      <c r="B9" s="1">
        <v>45950</v>
      </c>
      <c r="C9" s="18" t="s">
        <v>277</v>
      </c>
      <c r="D9" s="18" t="s">
        <v>109</v>
      </c>
      <c r="E9" s="15" t="s">
        <v>30</v>
      </c>
    </row>
    <row r="10" spans="1:8">
      <c r="A10" t="s">
        <v>111</v>
      </c>
    </row>
    <row r="11" spans="1:8">
      <c r="A11" t="s">
        <v>112</v>
      </c>
    </row>
    <row r="12" spans="1:8">
      <c r="A12" t="s">
        <v>113</v>
      </c>
    </row>
    <row r="13" spans="1:8">
      <c r="A13" t="s">
        <v>114</v>
      </c>
    </row>
    <row r="14" spans="1:8">
      <c r="A14" t="s">
        <v>115</v>
      </c>
    </row>
    <row r="15" spans="1:8">
      <c r="A15" t="s">
        <v>116</v>
      </c>
    </row>
    <row r="16" spans="1:8">
      <c r="A16" t="s">
        <v>117</v>
      </c>
    </row>
    <row r="17" spans="1:1">
      <c r="A17" t="s">
        <v>118</v>
      </c>
    </row>
    <row r="18" spans="1:1">
      <c r="A18" t="s">
        <v>119</v>
      </c>
    </row>
    <row r="19" spans="1:1">
      <c r="A19" t="s">
        <v>120</v>
      </c>
    </row>
    <row r="20" spans="1:1">
      <c r="A20" t="s">
        <v>121</v>
      </c>
    </row>
    <row r="21" spans="1:1">
      <c r="A21" t="s">
        <v>122</v>
      </c>
    </row>
    <row r="22" spans="1:1">
      <c r="A22" t="s">
        <v>123</v>
      </c>
    </row>
    <row r="23" spans="1:1">
      <c r="A23" t="s">
        <v>124</v>
      </c>
    </row>
    <row r="24" spans="1:1">
      <c r="A24" t="s">
        <v>125</v>
      </c>
    </row>
    <row r="25" spans="1:1">
      <c r="A25" t="s">
        <v>126</v>
      </c>
    </row>
    <row r="26" spans="1:1">
      <c r="A26" t="s">
        <v>127</v>
      </c>
    </row>
    <row r="27" spans="1:1">
      <c r="A27" t="s">
        <v>128</v>
      </c>
    </row>
    <row r="28" spans="1:1">
      <c r="A28" t="s">
        <v>129</v>
      </c>
    </row>
    <row r="29" spans="1:1">
      <c r="A29" t="s">
        <v>130</v>
      </c>
    </row>
    <row r="30" spans="1:1">
      <c r="A30" t="s">
        <v>131</v>
      </c>
    </row>
    <row r="31" spans="1:1">
      <c r="A31" t="s">
        <v>132</v>
      </c>
    </row>
    <row r="32" spans="1:1">
      <c r="A32" t="s">
        <v>133</v>
      </c>
    </row>
    <row r="33" spans="1:1">
      <c r="A33" t="s">
        <v>134</v>
      </c>
    </row>
    <row r="34" spans="1:1">
      <c r="A34" t="s">
        <v>135</v>
      </c>
    </row>
    <row r="35" spans="1:1">
      <c r="A35" t="s">
        <v>136</v>
      </c>
    </row>
    <row r="36" spans="1:1">
      <c r="A36" t="s">
        <v>137</v>
      </c>
    </row>
    <row r="37" spans="1:1">
      <c r="A37" t="s">
        <v>138</v>
      </c>
    </row>
    <row r="38" spans="1:1">
      <c r="A38" t="s">
        <v>139</v>
      </c>
    </row>
    <row r="39" spans="1:1">
      <c r="A39" t="s">
        <v>140</v>
      </c>
    </row>
    <row r="40" spans="1:1">
      <c r="A40" t="s">
        <v>141</v>
      </c>
    </row>
    <row r="41" spans="1:1">
      <c r="A41" t="s">
        <v>142</v>
      </c>
    </row>
    <row r="42" spans="1:1">
      <c r="A42" t="s">
        <v>143</v>
      </c>
    </row>
    <row r="43" spans="1:1">
      <c r="A43" t="s">
        <v>144</v>
      </c>
    </row>
    <row r="44" spans="1:1">
      <c r="A44" t="s">
        <v>145</v>
      </c>
    </row>
    <row r="45" spans="1:1">
      <c r="A45" t="s">
        <v>146</v>
      </c>
    </row>
    <row r="46" spans="1:1">
      <c r="A46" t="s">
        <v>147</v>
      </c>
    </row>
    <row r="47" spans="1:1">
      <c r="A47" t="s">
        <v>148</v>
      </c>
    </row>
    <row r="48" spans="1:1">
      <c r="A48" t="s">
        <v>149</v>
      </c>
    </row>
    <row r="49" spans="1:1">
      <c r="A49" t="s">
        <v>150</v>
      </c>
    </row>
    <row r="50" spans="1:1">
      <c r="A50" t="s">
        <v>151</v>
      </c>
    </row>
    <row r="51" spans="1:1">
      <c r="A51" t="s">
        <v>152</v>
      </c>
    </row>
    <row r="52" spans="1:1">
      <c r="A52" t="s">
        <v>153</v>
      </c>
    </row>
    <row r="53" spans="1:1">
      <c r="A53" t="s">
        <v>154</v>
      </c>
    </row>
    <row r="54" spans="1:1">
      <c r="A54" t="s">
        <v>155</v>
      </c>
    </row>
    <row r="55" spans="1:1">
      <c r="A55" t="s">
        <v>156</v>
      </c>
    </row>
    <row r="56" spans="1:1">
      <c r="A56" t="s">
        <v>157</v>
      </c>
    </row>
    <row r="57" spans="1:1">
      <c r="A57" t="s">
        <v>158</v>
      </c>
    </row>
    <row r="58" spans="1:1">
      <c r="A58" t="s">
        <v>159</v>
      </c>
    </row>
    <row r="59" spans="1:1">
      <c r="A59" t="s">
        <v>160</v>
      </c>
    </row>
    <row r="60" spans="1:1">
      <c r="A60" t="s">
        <v>161</v>
      </c>
    </row>
    <row r="61" spans="1:1">
      <c r="A61" t="s">
        <v>162</v>
      </c>
    </row>
    <row r="62" spans="1:1">
      <c r="A62" t="s">
        <v>163</v>
      </c>
    </row>
    <row r="63" spans="1:1">
      <c r="A63" t="s">
        <v>164</v>
      </c>
    </row>
    <row r="64" spans="1:1">
      <c r="A64" t="s">
        <v>165</v>
      </c>
    </row>
    <row r="65" spans="1:1">
      <c r="A65" t="s">
        <v>166</v>
      </c>
    </row>
    <row r="66" spans="1:1">
      <c r="A66" t="s">
        <v>167</v>
      </c>
    </row>
    <row r="67" spans="1:1">
      <c r="A67" t="s">
        <v>168</v>
      </c>
    </row>
    <row r="68" spans="1:1">
      <c r="A68" t="s">
        <v>169</v>
      </c>
    </row>
    <row r="69" spans="1:1">
      <c r="A69" t="s">
        <v>170</v>
      </c>
    </row>
    <row r="70" spans="1:1">
      <c r="A70" t="s">
        <v>171</v>
      </c>
    </row>
    <row r="71" spans="1:1">
      <c r="A71" t="s">
        <v>172</v>
      </c>
    </row>
    <row r="72" spans="1:1">
      <c r="A72" t="s">
        <v>173</v>
      </c>
    </row>
    <row r="73" spans="1:1">
      <c r="A73" t="s">
        <v>174</v>
      </c>
    </row>
    <row r="74" spans="1:1">
      <c r="A74" t="s">
        <v>175</v>
      </c>
    </row>
    <row r="75" spans="1:1">
      <c r="A75" t="s">
        <v>176</v>
      </c>
    </row>
    <row r="76" spans="1:1">
      <c r="A76" t="s">
        <v>177</v>
      </c>
    </row>
    <row r="77" spans="1:1">
      <c r="A77" t="s">
        <v>178</v>
      </c>
    </row>
    <row r="78" spans="1:1">
      <c r="A78" t="s">
        <v>179</v>
      </c>
    </row>
    <row r="79" spans="1:1">
      <c r="A79" t="s">
        <v>180</v>
      </c>
    </row>
    <row r="80" spans="1:1">
      <c r="A80" t="s">
        <v>181</v>
      </c>
    </row>
    <row r="81" spans="1:1">
      <c r="A81" t="s">
        <v>182</v>
      </c>
    </row>
    <row r="82" spans="1:1">
      <c r="A82" t="s">
        <v>183</v>
      </c>
    </row>
    <row r="83" spans="1:1">
      <c r="A83" t="s">
        <v>184</v>
      </c>
    </row>
    <row r="84" spans="1:1">
      <c r="A84" t="s">
        <v>185</v>
      </c>
    </row>
    <row r="85" spans="1:1">
      <c r="A85" t="s">
        <v>186</v>
      </c>
    </row>
    <row r="86" spans="1:1">
      <c r="A86" t="s">
        <v>187</v>
      </c>
    </row>
    <row r="87" spans="1:1">
      <c r="A87" t="s">
        <v>188</v>
      </c>
    </row>
    <row r="88" spans="1:1">
      <c r="A88" t="s">
        <v>189</v>
      </c>
    </row>
    <row r="89" spans="1:1">
      <c r="A89" t="s">
        <v>190</v>
      </c>
    </row>
    <row r="90" spans="1:1">
      <c r="A90" t="s">
        <v>191</v>
      </c>
    </row>
    <row r="91" spans="1:1">
      <c r="A91" t="s">
        <v>192</v>
      </c>
    </row>
    <row r="92" spans="1:1">
      <c r="A92" t="s">
        <v>193</v>
      </c>
    </row>
    <row r="93" spans="1:1">
      <c r="A93" t="s">
        <v>194</v>
      </c>
    </row>
    <row r="94" spans="1:1">
      <c r="A94" t="s">
        <v>195</v>
      </c>
    </row>
    <row r="95" spans="1:1">
      <c r="A95" t="s">
        <v>196</v>
      </c>
    </row>
    <row r="96" spans="1:1">
      <c r="A96" t="s">
        <v>197</v>
      </c>
    </row>
    <row r="97" spans="1:1">
      <c r="A97" t="s">
        <v>198</v>
      </c>
    </row>
    <row r="98" spans="1:1">
      <c r="A98" t="s">
        <v>199</v>
      </c>
    </row>
    <row r="99" spans="1:1">
      <c r="A99" t="s">
        <v>200</v>
      </c>
    </row>
    <row r="100" spans="1:1">
      <c r="A100" t="s">
        <v>201</v>
      </c>
    </row>
    <row r="101" spans="1:1">
      <c r="A101" t="s">
        <v>202</v>
      </c>
    </row>
    <row r="102" spans="1:1">
      <c r="A102" t="s">
        <v>203</v>
      </c>
    </row>
    <row r="103" spans="1:1">
      <c r="A103" t="s">
        <v>204</v>
      </c>
    </row>
    <row r="104" spans="1:1">
      <c r="A104" t="s">
        <v>205</v>
      </c>
    </row>
    <row r="105" spans="1:1">
      <c r="A105" t="s">
        <v>206</v>
      </c>
    </row>
    <row r="106" spans="1:1">
      <c r="A106" t="s">
        <v>207</v>
      </c>
    </row>
    <row r="107" spans="1:1">
      <c r="A107" t="s">
        <v>208</v>
      </c>
    </row>
    <row r="108" spans="1:1">
      <c r="A108" t="s">
        <v>209</v>
      </c>
    </row>
    <row r="109" spans="1:1">
      <c r="A109" t="s">
        <v>210</v>
      </c>
    </row>
    <row r="110" spans="1:1">
      <c r="A110" t="s">
        <v>211</v>
      </c>
    </row>
    <row r="111" spans="1:1">
      <c r="A111" t="s">
        <v>212</v>
      </c>
    </row>
    <row r="112" spans="1:1">
      <c r="A112" t="s">
        <v>213</v>
      </c>
    </row>
    <row r="113" spans="1:1">
      <c r="A113" t="s">
        <v>214</v>
      </c>
    </row>
    <row r="114" spans="1:1">
      <c r="A114" t="s">
        <v>215</v>
      </c>
    </row>
    <row r="115" spans="1:1">
      <c r="A115" t="s">
        <v>216</v>
      </c>
    </row>
    <row r="116" spans="1:1">
      <c r="A116" t="s">
        <v>217</v>
      </c>
    </row>
    <row r="117" spans="1:1">
      <c r="A117" t="s">
        <v>218</v>
      </c>
    </row>
    <row r="118" spans="1:1">
      <c r="A118" t="s">
        <v>219</v>
      </c>
    </row>
    <row r="119" spans="1:1">
      <c r="A119" t="s">
        <v>220</v>
      </c>
    </row>
    <row r="120" spans="1:1">
      <c r="A120" t="s">
        <v>221</v>
      </c>
    </row>
    <row r="121" spans="1:1">
      <c r="A121" t="s">
        <v>222</v>
      </c>
    </row>
    <row r="122" spans="1:1">
      <c r="A122" t="s">
        <v>223</v>
      </c>
    </row>
    <row r="123" spans="1:1">
      <c r="A123" t="s">
        <v>224</v>
      </c>
    </row>
    <row r="124" spans="1:1">
      <c r="A124" t="s">
        <v>225</v>
      </c>
    </row>
    <row r="125" spans="1:1">
      <c r="A125" t="s">
        <v>226</v>
      </c>
    </row>
    <row r="126" spans="1:1">
      <c r="A126" t="s">
        <v>227</v>
      </c>
    </row>
    <row r="127" spans="1:1">
      <c r="A127" t="s">
        <v>228</v>
      </c>
    </row>
    <row r="128" spans="1:1">
      <c r="A128" t="s">
        <v>229</v>
      </c>
    </row>
    <row r="129" spans="1:1">
      <c r="A129" t="s">
        <v>230</v>
      </c>
    </row>
    <row r="130" spans="1:1">
      <c r="A130" t="s">
        <v>231</v>
      </c>
    </row>
    <row r="131" spans="1:1">
      <c r="A131" t="s">
        <v>232</v>
      </c>
    </row>
    <row r="132" spans="1:1">
      <c r="A132" t="s">
        <v>233</v>
      </c>
    </row>
    <row r="133" spans="1:1">
      <c r="A133" t="s">
        <v>234</v>
      </c>
    </row>
    <row r="134" spans="1:1">
      <c r="A134" t="s">
        <v>235</v>
      </c>
    </row>
    <row r="135" spans="1:1">
      <c r="A135" t="s">
        <v>236</v>
      </c>
    </row>
    <row r="136" spans="1:1">
      <c r="A136" t="s">
        <v>237</v>
      </c>
    </row>
    <row r="137" spans="1:1">
      <c r="A137" t="s">
        <v>238</v>
      </c>
    </row>
    <row r="138" spans="1:1">
      <c r="A138" t="s">
        <v>239</v>
      </c>
    </row>
    <row r="139" spans="1:1">
      <c r="A139" t="s">
        <v>240</v>
      </c>
    </row>
    <row r="140" spans="1:1">
      <c r="A140" t="s">
        <v>241</v>
      </c>
    </row>
    <row r="141" spans="1:1">
      <c r="A141" t="s">
        <v>242</v>
      </c>
    </row>
    <row r="142" spans="1:1">
      <c r="A142" t="s">
        <v>243</v>
      </c>
    </row>
    <row r="143" spans="1:1">
      <c r="A143" t="s">
        <v>244</v>
      </c>
    </row>
    <row r="144" spans="1:1">
      <c r="A144" t="s">
        <v>245</v>
      </c>
    </row>
    <row r="145" spans="1:1">
      <c r="A145" t="s">
        <v>246</v>
      </c>
    </row>
    <row r="146" spans="1:1">
      <c r="A146" t="s">
        <v>247</v>
      </c>
    </row>
    <row r="147" spans="1:1">
      <c r="A147" t="s">
        <v>248</v>
      </c>
    </row>
    <row r="148" spans="1:1">
      <c r="A148" t="s">
        <v>249</v>
      </c>
    </row>
    <row r="149" spans="1:1">
      <c r="A149" t="s">
        <v>250</v>
      </c>
    </row>
    <row r="150" spans="1:1">
      <c r="A150" t="s">
        <v>251</v>
      </c>
    </row>
    <row r="151" spans="1:1">
      <c r="A151" t="s">
        <v>252</v>
      </c>
    </row>
    <row r="152" spans="1:1">
      <c r="A152" t="s">
        <v>253</v>
      </c>
    </row>
    <row r="153" spans="1:1">
      <c r="A153" t="s">
        <v>254</v>
      </c>
    </row>
    <row r="154" spans="1:1">
      <c r="A154" t="s">
        <v>255</v>
      </c>
    </row>
    <row r="155" spans="1:1">
      <c r="A155" t="s">
        <v>256</v>
      </c>
    </row>
    <row r="156" spans="1:1">
      <c r="A156" t="s">
        <v>257</v>
      </c>
    </row>
    <row r="157" spans="1:1">
      <c r="A157" t="s">
        <v>258</v>
      </c>
    </row>
    <row r="158" spans="1:1">
      <c r="A158" t="s">
        <v>259</v>
      </c>
    </row>
    <row r="159" spans="1:1">
      <c r="A159" t="s">
        <v>260</v>
      </c>
    </row>
    <row r="160" spans="1:1">
      <c r="A160" t="s">
        <v>261</v>
      </c>
    </row>
    <row r="161" spans="1:1">
      <c r="A161" t="s">
        <v>262</v>
      </c>
    </row>
    <row r="162" spans="1:1">
      <c r="A162" t="s">
        <v>263</v>
      </c>
    </row>
    <row r="163" spans="1:1">
      <c r="A163" t="s">
        <v>264</v>
      </c>
    </row>
    <row r="164" spans="1:1">
      <c r="A164" t="s">
        <v>265</v>
      </c>
    </row>
    <row r="165" spans="1:1">
      <c r="A165" t="s">
        <v>266</v>
      </c>
    </row>
    <row r="166" spans="1:1">
      <c r="A166" t="s">
        <v>267</v>
      </c>
    </row>
    <row r="167" spans="1:1">
      <c r="A167" t="s">
        <v>268</v>
      </c>
    </row>
    <row r="168" spans="1:1">
      <c r="A168" t="s">
        <v>269</v>
      </c>
    </row>
    <row r="169" spans="1:1">
      <c r="A169" t="s">
        <v>270</v>
      </c>
    </row>
    <row r="170" spans="1:1">
      <c r="A170" t="s">
        <v>271</v>
      </c>
    </row>
    <row r="171" spans="1:1">
      <c r="A171" t="s">
        <v>272</v>
      </c>
    </row>
    <row r="172" spans="1:1">
      <c r="A172" t="s">
        <v>273</v>
      </c>
    </row>
    <row r="173" spans="1:1">
      <c r="A173" t="s">
        <v>274</v>
      </c>
    </row>
    <row r="174" spans="1:1">
      <c r="A174" t="s">
        <v>275</v>
      </c>
    </row>
    <row r="175" spans="1:1">
      <c r="A175" t="s">
        <v>276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8"/>
  <sheetViews>
    <sheetView workbookViewId="0">
      <selection activeCell="D6" sqref="D6"/>
    </sheetView>
  </sheetViews>
  <sheetFormatPr defaultRowHeight="15"/>
  <cols>
    <col min="1" max="1" width="12.7109375" bestFit="1" customWidth="1"/>
    <col min="2" max="2" width="10.28515625" customWidth="1"/>
    <col min="3" max="3" width="13.5703125" customWidth="1"/>
    <col min="4" max="4" width="15" customWidth="1"/>
    <col min="5" max="5" width="14.85546875" customWidth="1"/>
    <col min="6" max="6" width="16.7109375" customWidth="1"/>
    <col min="7" max="7" width="42.140625" bestFit="1" customWidth="1"/>
    <col min="8" max="8" width="13.140625" customWidth="1"/>
    <col min="9" max="9" width="11.5703125" customWidth="1"/>
    <col min="10" max="10" width="11.85546875" customWidth="1"/>
    <col min="11" max="11" width="20.5703125" customWidth="1"/>
  </cols>
  <sheetData>
    <row r="1" spans="1:11" ht="30.75" customHeight="1">
      <c r="A1" s="16" t="s">
        <v>21</v>
      </c>
      <c r="B1" s="16" t="s">
        <v>1</v>
      </c>
      <c r="C1" s="16" t="s">
        <v>105</v>
      </c>
      <c r="D1" s="16" t="s">
        <v>2</v>
      </c>
      <c r="E1" s="16" t="s">
        <v>39</v>
      </c>
      <c r="F1" s="16" t="s">
        <v>40</v>
      </c>
      <c r="G1" s="16" t="s">
        <v>41</v>
      </c>
      <c r="H1" s="16" t="s">
        <v>42</v>
      </c>
      <c r="I1" s="17" t="s">
        <v>106</v>
      </c>
      <c r="J1" s="17" t="s">
        <v>107</v>
      </c>
      <c r="K1" s="17" t="s">
        <v>108</v>
      </c>
    </row>
    <row r="2" spans="1:11">
      <c r="A2" t="s">
        <v>27</v>
      </c>
      <c r="B2" t="str">
        <f>IFERROR(_xlfn.XLOOKUP(C2, tblActors[nome], tblActors[actor_id], ""), "")</f>
        <v>ATO009</v>
      </c>
      <c r="C2" t="s">
        <v>72</v>
      </c>
      <c r="D2" t="s">
        <v>10</v>
      </c>
      <c r="E2">
        <v>9</v>
      </c>
      <c r="F2">
        <v>3</v>
      </c>
      <c r="G2" s="15" t="s">
        <v>43</v>
      </c>
      <c r="H2">
        <v>0</v>
      </c>
      <c r="I2" s="15"/>
    </row>
    <row r="3" spans="1:11">
      <c r="A3" t="s">
        <v>27</v>
      </c>
      <c r="B3" t="str">
        <f>IFERROR(_xlfn.XLOOKUP(C3, tblActors[nome], tblActors[actor_id], ""), "")</f>
        <v>ATO003</v>
      </c>
      <c r="C3" t="s">
        <v>61</v>
      </c>
      <c r="D3" t="s">
        <v>14</v>
      </c>
      <c r="E3">
        <v>-6</v>
      </c>
      <c r="F3">
        <v>0</v>
      </c>
      <c r="G3" s="15" t="s">
        <v>44</v>
      </c>
      <c r="H3">
        <v>0</v>
      </c>
    </row>
    <row r="4" spans="1:11">
      <c r="A4" t="s">
        <v>33</v>
      </c>
      <c r="B4" t="str">
        <f>IFERROR(_xlfn.XLOOKUP(C4, tblActors[nome], tblActors[actor_id], ""), "")</f>
        <v>ATO002</v>
      </c>
      <c r="C4" t="s">
        <v>60</v>
      </c>
      <c r="D4" t="s">
        <v>10</v>
      </c>
      <c r="E4">
        <v>2</v>
      </c>
      <c r="F4">
        <v>5</v>
      </c>
      <c r="G4" s="15" t="s">
        <v>45</v>
      </c>
      <c r="H4">
        <v>0</v>
      </c>
    </row>
    <row r="5" spans="1:11">
      <c r="A5" t="s">
        <v>33</v>
      </c>
      <c r="B5" t="str">
        <f>IFERROR(_xlfn.XLOOKUP(C5, tblActors[nome], tblActors[actor_id], ""), "")</f>
        <v>ATO003</v>
      </c>
      <c r="C5" t="s">
        <v>61</v>
      </c>
      <c r="D5" t="s">
        <v>14</v>
      </c>
      <c r="E5">
        <v>-2</v>
      </c>
      <c r="F5">
        <v>0</v>
      </c>
      <c r="G5" s="15" t="s">
        <v>46</v>
      </c>
      <c r="H5">
        <v>0</v>
      </c>
    </row>
    <row r="6" spans="1:11">
      <c r="A6" t="s">
        <v>90</v>
      </c>
      <c r="B6" s="14" t="str">
        <f>IFERROR(_xlfn.XLOOKUP(C6, tblActors[nome], tblActors[actor_id], ""), "")</f>
        <v>ATO003</v>
      </c>
      <c r="C6" s="14" t="s">
        <v>61</v>
      </c>
      <c r="D6" t="s">
        <v>10</v>
      </c>
      <c r="E6">
        <v>-3</v>
      </c>
      <c r="F6">
        <v>0</v>
      </c>
      <c r="G6" s="15" t="s">
        <v>99</v>
      </c>
      <c r="H6">
        <v>0</v>
      </c>
    </row>
    <row r="7" spans="1:11">
      <c r="A7" t="s">
        <v>90</v>
      </c>
      <c r="B7" s="14" t="str">
        <f>IFERROR(_xlfn.XLOOKUP(C7, tblActors[nome], tblActors[actor_id], ""), "")</f>
        <v>ATO006</v>
      </c>
      <c r="C7" s="14" t="s">
        <v>66</v>
      </c>
      <c r="D7" t="s">
        <v>10</v>
      </c>
      <c r="E7">
        <v>-8</v>
      </c>
      <c r="F7">
        <v>0</v>
      </c>
      <c r="G7" s="15" t="s">
        <v>100</v>
      </c>
      <c r="H7">
        <v>0</v>
      </c>
    </row>
    <row r="8" spans="1:11">
      <c r="A8" t="s">
        <v>90</v>
      </c>
      <c r="B8" s="14" t="str">
        <f>IFERROR(_xlfn.XLOOKUP(C8, tblActors[nome], tblActors[actor_id], ""), "")</f>
        <v>ATO007</v>
      </c>
      <c r="C8" s="14" t="s">
        <v>68</v>
      </c>
      <c r="D8" t="s">
        <v>10</v>
      </c>
      <c r="E8">
        <v>-5</v>
      </c>
      <c r="F8">
        <v>0</v>
      </c>
      <c r="G8" s="15" t="s">
        <v>101</v>
      </c>
      <c r="H8">
        <v>0</v>
      </c>
    </row>
    <row r="9" spans="1:11">
      <c r="A9" t="s">
        <v>90</v>
      </c>
      <c r="B9" s="14" t="str">
        <f>IFERROR(_xlfn.XLOOKUP(C9, tblActors[nome], tblActors[actor_id], ""), "")</f>
        <v>ATO012</v>
      </c>
      <c r="C9" s="14" t="s">
        <v>75</v>
      </c>
      <c r="D9" t="s">
        <v>10</v>
      </c>
      <c r="E9">
        <v>-8</v>
      </c>
      <c r="F9">
        <v>0</v>
      </c>
      <c r="G9" s="15" t="s">
        <v>100</v>
      </c>
      <c r="H9">
        <v>0</v>
      </c>
    </row>
    <row r="10" spans="1:11">
      <c r="A10" t="s">
        <v>90</v>
      </c>
      <c r="B10" s="14" t="str">
        <f>IFERROR(_xlfn.XLOOKUP(C10, tblActors[nome], tblActors[actor_id], ""), "")</f>
        <v>ATO013</v>
      </c>
      <c r="C10" s="14" t="s">
        <v>76</v>
      </c>
      <c r="D10" t="s">
        <v>10</v>
      </c>
      <c r="E10">
        <v>-8</v>
      </c>
      <c r="F10">
        <v>0</v>
      </c>
      <c r="G10" s="15" t="s">
        <v>100</v>
      </c>
      <c r="H10">
        <v>0</v>
      </c>
    </row>
    <row r="11" spans="1:11">
      <c r="A11" t="s">
        <v>90</v>
      </c>
      <c r="B11" s="14" t="str">
        <f>IFERROR(_xlfn.XLOOKUP(C11, tblActors[nome], tblActors[actor_id], ""), "")</f>
        <v>ATO015</v>
      </c>
      <c r="C11" s="14" t="s">
        <v>78</v>
      </c>
      <c r="D11" t="s">
        <v>10</v>
      </c>
      <c r="E11">
        <v>-8</v>
      </c>
      <c r="F11">
        <v>0</v>
      </c>
      <c r="G11" s="15" t="s">
        <v>102</v>
      </c>
      <c r="H11">
        <v>0</v>
      </c>
    </row>
    <row r="12" spans="1:11">
      <c r="A12" t="s">
        <v>90</v>
      </c>
      <c r="B12" s="14" t="str">
        <f>IFERROR(_xlfn.XLOOKUP(C12, tblActors[nome], tblActors[actor_id], ""), "")</f>
        <v>ATO016</v>
      </c>
      <c r="C12" s="14" t="s">
        <v>81</v>
      </c>
      <c r="D12" t="s">
        <v>10</v>
      </c>
      <c r="E12">
        <v>-8</v>
      </c>
      <c r="F12">
        <v>0</v>
      </c>
      <c r="G12" s="15" t="s">
        <v>103</v>
      </c>
      <c r="H12">
        <v>0</v>
      </c>
    </row>
    <row r="13" spans="1:11" ht="60">
      <c r="A13" t="s">
        <v>110</v>
      </c>
      <c r="B13" t="str">
        <f>IFERROR(_xlfn.XLOOKUP(C13, tblActors[nome], tblActors[actor_id], ""), "")</f>
        <v>ATO012</v>
      </c>
      <c r="C13" t="s">
        <v>75</v>
      </c>
      <c r="D13" t="s">
        <v>10</v>
      </c>
      <c r="E13">
        <v>-7</v>
      </c>
      <c r="F13">
        <v>-5</v>
      </c>
      <c r="G13" s="15" t="s">
        <v>278</v>
      </c>
    </row>
    <row r="14" spans="1:11" ht="60">
      <c r="A14" t="s">
        <v>110</v>
      </c>
      <c r="B14" t="str">
        <f>IFERROR(_xlfn.XLOOKUP(C14, tblActors[nome], tblActors[actor_id], ""), "")</f>
        <v>ATO012</v>
      </c>
      <c r="C14" t="s">
        <v>75</v>
      </c>
      <c r="D14" t="s">
        <v>14</v>
      </c>
      <c r="E14">
        <v>8</v>
      </c>
      <c r="F14">
        <v>6</v>
      </c>
      <c r="G14" s="15" t="s">
        <v>279</v>
      </c>
    </row>
    <row r="15" spans="1:11" ht="45">
      <c r="A15" t="s">
        <v>110</v>
      </c>
      <c r="B15" t="str">
        <f>IFERROR(_xlfn.XLOOKUP(C15, tblActors[nome], tblActors[actor_id], ""), "")</f>
        <v>ATO006</v>
      </c>
      <c r="C15" t="s">
        <v>66</v>
      </c>
      <c r="D15" t="s">
        <v>10</v>
      </c>
      <c r="E15">
        <v>6</v>
      </c>
      <c r="F15">
        <v>5</v>
      </c>
      <c r="G15" s="15" t="s">
        <v>280</v>
      </c>
    </row>
    <row r="16" spans="1:11" ht="60">
      <c r="A16" t="s">
        <v>110</v>
      </c>
      <c r="B16" t="str">
        <f>IFERROR(_xlfn.XLOOKUP(C16, tblActors[nome], tblActors[actor_id], ""), "")</f>
        <v>ATO006</v>
      </c>
      <c r="C16" t="s">
        <v>66</v>
      </c>
      <c r="D16" t="s">
        <v>14</v>
      </c>
      <c r="E16">
        <v>-4</v>
      </c>
      <c r="F16">
        <v>-3</v>
      </c>
      <c r="G16" s="15" t="s">
        <v>281</v>
      </c>
    </row>
    <row r="17" spans="1:7" ht="45">
      <c r="A17" t="s">
        <v>110</v>
      </c>
      <c r="B17" t="str">
        <f>IFERROR(_xlfn.XLOOKUP(C17, tblActors[nome], tblActors[actor_id], ""), "")</f>
        <v>ATO015</v>
      </c>
      <c r="C17" t="s">
        <v>78</v>
      </c>
      <c r="D17" t="s">
        <v>10</v>
      </c>
      <c r="E17">
        <v>5</v>
      </c>
      <c r="F17">
        <v>4</v>
      </c>
      <c r="G17" s="15" t="s">
        <v>282</v>
      </c>
    </row>
    <row r="18" spans="1:7" ht="45">
      <c r="A18" t="s">
        <v>110</v>
      </c>
      <c r="B18" t="str">
        <f>IFERROR(_xlfn.XLOOKUP(C18, tblActors[nome], tblActors[actor_id], ""), "")</f>
        <v>ATO015</v>
      </c>
      <c r="C18" t="s">
        <v>78</v>
      </c>
      <c r="D18" t="s">
        <v>14</v>
      </c>
      <c r="E18">
        <v>2</v>
      </c>
      <c r="F18">
        <v>2</v>
      </c>
      <c r="G18" s="15" t="s">
        <v>283</v>
      </c>
    </row>
    <row r="19" spans="1:7" ht="60">
      <c r="A19" t="s">
        <v>110</v>
      </c>
      <c r="B19" t="str">
        <f>IFERROR(_xlfn.XLOOKUP(C19, tblActors[nome], tblActors[actor_id], ""), "")</f>
        <v>ATO009</v>
      </c>
      <c r="C19" t="s">
        <v>72</v>
      </c>
      <c r="D19" t="s">
        <v>10</v>
      </c>
      <c r="E19">
        <v>4</v>
      </c>
      <c r="F19">
        <v>3</v>
      </c>
      <c r="G19" s="15" t="s">
        <v>284</v>
      </c>
    </row>
    <row r="20" spans="1:7" ht="60">
      <c r="A20" t="s">
        <v>110</v>
      </c>
      <c r="B20" t="str">
        <f>IFERROR(_xlfn.XLOOKUP(C20, tblActors[nome], tblActors[actor_id], ""), "")</f>
        <v>ATO009</v>
      </c>
      <c r="C20" t="s">
        <v>72</v>
      </c>
      <c r="D20" t="s">
        <v>14</v>
      </c>
      <c r="E20">
        <v>-6</v>
      </c>
      <c r="F20">
        <v>-5</v>
      </c>
      <c r="G20" s="15" t="s">
        <v>285</v>
      </c>
    </row>
    <row r="21" spans="1:7" ht="60">
      <c r="A21" t="s">
        <v>110</v>
      </c>
      <c r="B21" t="str">
        <f>IFERROR(_xlfn.XLOOKUP(C21, tblActors[nome], tblActors[actor_id], ""), "")</f>
        <v>ATO010</v>
      </c>
      <c r="C21" t="s">
        <v>73</v>
      </c>
      <c r="D21" t="s">
        <v>10</v>
      </c>
      <c r="E21">
        <v>4</v>
      </c>
      <c r="F21">
        <v>3</v>
      </c>
      <c r="G21" s="15" t="s">
        <v>284</v>
      </c>
    </row>
    <row r="22" spans="1:7" ht="60">
      <c r="A22" t="s">
        <v>110</v>
      </c>
      <c r="B22" t="str">
        <f>IFERROR(_xlfn.XLOOKUP(C22, tblActors[nome], tblActors[actor_id], ""), "")</f>
        <v>ATO010</v>
      </c>
      <c r="C22" t="s">
        <v>73</v>
      </c>
      <c r="D22" t="s">
        <v>14</v>
      </c>
      <c r="E22">
        <v>-6</v>
      </c>
      <c r="F22">
        <v>-5</v>
      </c>
      <c r="G22" s="15" t="s">
        <v>285</v>
      </c>
    </row>
    <row r="23" spans="1:7" ht="60">
      <c r="A23" t="s">
        <v>110</v>
      </c>
      <c r="B23" t="str">
        <f>IFERROR(_xlfn.XLOOKUP(C23, tblActors[nome], tblActors[actor_id], ""), "")</f>
        <v>ATO003</v>
      </c>
      <c r="C23" t="s">
        <v>61</v>
      </c>
      <c r="D23" t="s">
        <v>10</v>
      </c>
      <c r="E23">
        <v>5</v>
      </c>
      <c r="F23">
        <v>4</v>
      </c>
      <c r="G23" s="15" t="s">
        <v>286</v>
      </c>
    </row>
    <row r="24" spans="1:7" ht="57">
      <c r="A24" t="s">
        <v>110</v>
      </c>
      <c r="B24" t="str">
        <f>IFERROR(_xlfn.XLOOKUP(C24, tblActors[nome], tblActors[actor_id], ""), "")</f>
        <v>ATO003</v>
      </c>
      <c r="C24" t="s">
        <v>61</v>
      </c>
      <c r="D24" t="s">
        <v>14</v>
      </c>
      <c r="E24">
        <v>-7</v>
      </c>
      <c r="F24">
        <v>-6</v>
      </c>
      <c r="G24" s="19" t="s">
        <v>287</v>
      </c>
    </row>
    <row r="25" spans="1:7" ht="45">
      <c r="A25" t="s">
        <v>110</v>
      </c>
      <c r="B25" t="str">
        <f>IFERROR(_xlfn.XLOOKUP(C25, tblActors[nome], tblActors[actor_id], ""), "")</f>
        <v>ATO007</v>
      </c>
      <c r="C25" t="s">
        <v>68</v>
      </c>
      <c r="D25" t="s">
        <v>10</v>
      </c>
      <c r="E25">
        <v>2</v>
      </c>
      <c r="F25">
        <v>1</v>
      </c>
      <c r="G25" s="15" t="s">
        <v>288</v>
      </c>
    </row>
    <row r="26" spans="1:7" ht="60">
      <c r="A26" t="s">
        <v>110</v>
      </c>
      <c r="B26" t="str">
        <f>IFERROR(_xlfn.XLOOKUP(C26, tblActors[nome], tblActors[actor_id], ""), "")</f>
        <v>ATO007</v>
      </c>
      <c r="C26" t="s">
        <v>68</v>
      </c>
      <c r="D26" t="s">
        <v>14</v>
      </c>
      <c r="E26">
        <v>3</v>
      </c>
      <c r="F26">
        <v>2</v>
      </c>
      <c r="G26" s="15" t="s">
        <v>289</v>
      </c>
    </row>
    <row r="27" spans="1:7" ht="60">
      <c r="A27" t="s">
        <v>110</v>
      </c>
      <c r="B27" t="str">
        <f>IFERROR(_xlfn.XLOOKUP(C27, tblActors[nome], tblActors[actor_id], ""), "")</f>
        <v>ATO016</v>
      </c>
      <c r="C27" t="s">
        <v>81</v>
      </c>
      <c r="D27" t="s">
        <v>10</v>
      </c>
      <c r="E27">
        <v>-4</v>
      </c>
      <c r="F27">
        <v>-3</v>
      </c>
      <c r="G27" s="15" t="s">
        <v>290</v>
      </c>
    </row>
    <row r="28" spans="1:7" ht="45">
      <c r="A28" t="s">
        <v>110</v>
      </c>
      <c r="B28" t="str">
        <f>IFERROR(_xlfn.XLOOKUP(C28, tblActors[nome], tblActors[actor_id], ""), "")</f>
        <v>ATO016</v>
      </c>
      <c r="C28" t="s">
        <v>81</v>
      </c>
      <c r="D28" t="s">
        <v>14</v>
      </c>
      <c r="E28">
        <v>5</v>
      </c>
      <c r="F28">
        <v>4</v>
      </c>
      <c r="G28" s="15" t="s">
        <v>291</v>
      </c>
    </row>
    <row r="29" spans="1:7" ht="45">
      <c r="A29" t="s">
        <v>110</v>
      </c>
      <c r="B29" t="str">
        <f>IFERROR(_xlfn.XLOOKUP(C29, tblActors[nome], tblActors[actor_id], ""), "")</f>
        <v>ATO001</v>
      </c>
      <c r="C29" t="s">
        <v>59</v>
      </c>
      <c r="D29" t="s">
        <v>10</v>
      </c>
      <c r="E29">
        <v>3</v>
      </c>
      <c r="F29">
        <v>2</v>
      </c>
      <c r="G29" s="15" t="s">
        <v>292</v>
      </c>
    </row>
    <row r="30" spans="1:7" ht="45">
      <c r="A30" t="s">
        <v>110</v>
      </c>
      <c r="B30" t="str">
        <f>IFERROR(_xlfn.XLOOKUP(C30, tblActors[nome], tblActors[actor_id], ""), "")</f>
        <v>ATO001</v>
      </c>
      <c r="C30" t="s">
        <v>59</v>
      </c>
      <c r="D30" t="s">
        <v>14</v>
      </c>
      <c r="E30">
        <v>-4</v>
      </c>
      <c r="F30">
        <v>-3</v>
      </c>
      <c r="G30" s="15" t="s">
        <v>293</v>
      </c>
    </row>
    <row r="31" spans="1:7" ht="45">
      <c r="A31" t="s">
        <v>110</v>
      </c>
      <c r="B31" t="str">
        <f>IFERROR(_xlfn.XLOOKUP(C31, tblActors[nome], tblActors[actor_id], ""), "")</f>
        <v>ATO011</v>
      </c>
      <c r="C31" t="s">
        <v>74</v>
      </c>
      <c r="D31" t="s">
        <v>10</v>
      </c>
      <c r="E31">
        <v>3</v>
      </c>
      <c r="F31">
        <v>2</v>
      </c>
      <c r="G31" s="15" t="s">
        <v>292</v>
      </c>
    </row>
    <row r="32" spans="1:7" ht="42.75">
      <c r="A32" t="s">
        <v>110</v>
      </c>
      <c r="B32" t="str">
        <f>IFERROR(_xlfn.XLOOKUP(C32, tblActors[nome], tblActors[actor_id], ""), "")</f>
        <v>ATO011</v>
      </c>
      <c r="C32" t="s">
        <v>74</v>
      </c>
      <c r="D32" t="s">
        <v>14</v>
      </c>
      <c r="E32">
        <v>-4</v>
      </c>
      <c r="F32">
        <v>-3</v>
      </c>
      <c r="G32" s="19" t="s">
        <v>293</v>
      </c>
    </row>
    <row r="33" spans="1:7" ht="45">
      <c r="A33" t="s">
        <v>110</v>
      </c>
      <c r="B33" t="str">
        <f>IFERROR(_xlfn.XLOOKUP(C33, tblActors[nome], tblActors[actor_id], ""), "")</f>
        <v>ATO004</v>
      </c>
      <c r="C33" t="s">
        <v>63</v>
      </c>
      <c r="D33" t="s">
        <v>10</v>
      </c>
      <c r="E33">
        <v>-6</v>
      </c>
      <c r="F33">
        <v>-4</v>
      </c>
      <c r="G33" s="15" t="s">
        <v>294</v>
      </c>
    </row>
    <row r="34" spans="1:7" ht="45">
      <c r="A34" t="s">
        <v>110</v>
      </c>
      <c r="B34" t="str">
        <f>IFERROR(_xlfn.XLOOKUP(C34, tblActors[nome], tblActors[actor_id], ""), "")</f>
        <v>ATO004</v>
      </c>
      <c r="C34" t="s">
        <v>63</v>
      </c>
      <c r="D34" t="s">
        <v>14</v>
      </c>
      <c r="E34">
        <v>7</v>
      </c>
      <c r="F34">
        <v>5</v>
      </c>
      <c r="G34" s="15" t="s">
        <v>295</v>
      </c>
    </row>
    <row r="35" spans="1:7" ht="60">
      <c r="A35" t="s">
        <v>110</v>
      </c>
      <c r="B35" t="str">
        <f>IFERROR(_xlfn.XLOOKUP(C35, tblActors[nome], tblActors[actor_id], ""), "")</f>
        <v>ATO013</v>
      </c>
      <c r="C35" t="s">
        <v>76</v>
      </c>
      <c r="D35" t="s">
        <v>10</v>
      </c>
      <c r="E35">
        <v>2</v>
      </c>
      <c r="F35">
        <v>1</v>
      </c>
      <c r="G35" s="15" t="s">
        <v>296</v>
      </c>
    </row>
    <row r="36" spans="1:7" ht="60">
      <c r="A36" t="s">
        <v>110</v>
      </c>
      <c r="B36" t="str">
        <f>IFERROR(_xlfn.XLOOKUP(C36, tblActors[nome], tblActors[actor_id], ""), "")</f>
        <v>ATO013</v>
      </c>
      <c r="C36" t="s">
        <v>76</v>
      </c>
      <c r="D36" t="s">
        <v>14</v>
      </c>
      <c r="E36">
        <v>-2</v>
      </c>
      <c r="F36">
        <v>-1</v>
      </c>
      <c r="G36" s="15" t="s">
        <v>297</v>
      </c>
    </row>
    <row r="37" spans="1:7">
      <c r="B37" t="str">
        <f>IFERROR(_xlfn.XLOOKUP(C37, tblActors[nome], tblActors[actor_id], ""), "")</f>
        <v/>
      </c>
      <c r="G37" s="15"/>
    </row>
    <row r="38" spans="1:7">
      <c r="B38" t="str">
        <f>IFERROR(_xlfn.XLOOKUP(C38, tblActors[nome], tblActors[actor_id], ""), "")</f>
        <v/>
      </c>
      <c r="G38" s="15"/>
    </row>
    <row r="39" spans="1:7">
      <c r="B39" t="str">
        <f>IFERROR(_xlfn.XLOOKUP(C39, tblActors[nome], tblActors[actor_id], ""), "")</f>
        <v/>
      </c>
      <c r="G39" s="15"/>
    </row>
    <row r="40" spans="1:7">
      <c r="B40" t="str">
        <f>IFERROR(_xlfn.XLOOKUP(C40, tblActors[nome], tblActors[actor_id], ""), "")</f>
        <v/>
      </c>
      <c r="G40" s="15"/>
    </row>
    <row r="41" spans="1:7">
      <c r="B41" t="str">
        <f>IFERROR(_xlfn.XLOOKUP(C41, tblActors[nome], tblActors[actor_id], ""), "")</f>
        <v/>
      </c>
      <c r="G41" s="15"/>
    </row>
    <row r="42" spans="1:7">
      <c r="B42" t="str">
        <f>IFERROR(_xlfn.XLOOKUP(C42, tblActors[nome], tblActors[actor_id], ""), "")</f>
        <v/>
      </c>
      <c r="G42" s="15"/>
    </row>
    <row r="43" spans="1:7">
      <c r="B43" t="str">
        <f>IFERROR(_xlfn.XLOOKUP(C43, tblActors[nome], tblActors[actor_id], ""), "")</f>
        <v/>
      </c>
      <c r="G43" s="15"/>
    </row>
    <row r="44" spans="1:7">
      <c r="B44" t="str">
        <f>IFERROR(_xlfn.XLOOKUP(C44, tblActors[nome], tblActors[actor_id], ""), "")</f>
        <v/>
      </c>
      <c r="G44" s="15"/>
    </row>
    <row r="45" spans="1:7">
      <c r="B45" t="str">
        <f>IFERROR(_xlfn.XLOOKUP(C45, tblActors[nome], tblActors[actor_id], ""), "")</f>
        <v/>
      </c>
      <c r="G45" s="15"/>
    </row>
    <row r="46" spans="1:7">
      <c r="B46" t="str">
        <f>IFERROR(_xlfn.XLOOKUP(C46, tblActors[nome], tblActors[actor_id], ""), "")</f>
        <v/>
      </c>
      <c r="G46" s="15"/>
    </row>
    <row r="47" spans="1:7">
      <c r="B47" t="str">
        <f>IFERROR(_xlfn.XLOOKUP(C47, tblActors[nome], tblActors[actor_id], ""), "")</f>
        <v/>
      </c>
      <c r="G47" s="15"/>
    </row>
    <row r="48" spans="1:7">
      <c r="B48" t="str">
        <f>IFERROR(_xlfn.XLOOKUP(C48, tblActors[nome], tblActors[actor_id], ""), "")</f>
        <v/>
      </c>
      <c r="G48" s="15"/>
    </row>
    <row r="49" spans="2:7">
      <c r="B49" t="str">
        <f>IFERROR(_xlfn.XLOOKUP(C49, tblActors[nome], tblActors[actor_id], ""), "")</f>
        <v/>
      </c>
      <c r="G49" s="15"/>
    </row>
    <row r="50" spans="2:7">
      <c r="B50" t="str">
        <f>IFERROR(_xlfn.XLOOKUP(C50, tblActors[nome], tblActors[actor_id], ""), "")</f>
        <v/>
      </c>
      <c r="G50" s="15"/>
    </row>
    <row r="51" spans="2:7">
      <c r="B51" t="str">
        <f>IFERROR(_xlfn.XLOOKUP(C51, tblActors[nome], tblActors[actor_id], ""), "")</f>
        <v/>
      </c>
      <c r="G51" s="15"/>
    </row>
    <row r="52" spans="2:7">
      <c r="B52" t="str">
        <f>IFERROR(_xlfn.XLOOKUP(C52, tblActors[nome], tblActors[actor_id], ""), "")</f>
        <v/>
      </c>
      <c r="G52" s="15"/>
    </row>
    <row r="53" spans="2:7">
      <c r="B53" t="str">
        <f>IFERROR(_xlfn.XLOOKUP(C53, tblActors[nome], tblActors[actor_id], ""), "")</f>
        <v/>
      </c>
      <c r="G53" s="15"/>
    </row>
    <row r="54" spans="2:7">
      <c r="B54" t="str">
        <f>IFERROR(_xlfn.XLOOKUP(C54, tblActors[nome], tblActors[actor_id], ""), "")</f>
        <v/>
      </c>
      <c r="G54" s="15"/>
    </row>
    <row r="55" spans="2:7">
      <c r="B55" t="str">
        <f>IFERROR(_xlfn.XLOOKUP(C55, tblActors[nome], tblActors[actor_id], ""), "")</f>
        <v/>
      </c>
      <c r="G55" s="15"/>
    </row>
    <row r="56" spans="2:7">
      <c r="B56" t="str">
        <f>IFERROR(_xlfn.XLOOKUP(C56, tblActors[nome], tblActors[actor_id], ""), "")</f>
        <v/>
      </c>
      <c r="G56" s="15"/>
    </row>
    <row r="57" spans="2:7">
      <c r="B57" t="str">
        <f>IFERROR(_xlfn.XLOOKUP(C57, tblActors[nome], tblActors[actor_id], ""), "")</f>
        <v/>
      </c>
      <c r="G57" s="15"/>
    </row>
    <row r="58" spans="2:7">
      <c r="B58" t="str">
        <f>IFERROR(_xlfn.XLOOKUP(C58, tblActors[nome], tblActors[actor_id], ""), "")</f>
        <v/>
      </c>
      <c r="G58" s="15"/>
    </row>
    <row r="59" spans="2:7">
      <c r="B59" t="str">
        <f>IFERROR(_xlfn.XLOOKUP(C59, tblActors[nome], tblActors[actor_id], ""), "")</f>
        <v/>
      </c>
      <c r="G59" s="15"/>
    </row>
    <row r="60" spans="2:7">
      <c r="B60" t="str">
        <f>IFERROR(_xlfn.XLOOKUP(C60, tblActors[nome], tblActors[actor_id], ""), "")</f>
        <v/>
      </c>
      <c r="G60" s="15"/>
    </row>
    <row r="61" spans="2:7">
      <c r="B61" t="str">
        <f>IFERROR(_xlfn.XLOOKUP(C61, tblActors[nome], tblActors[actor_id], ""), "")</f>
        <v/>
      </c>
      <c r="G61" s="15"/>
    </row>
    <row r="62" spans="2:7">
      <c r="B62" t="str">
        <f>IFERROR(_xlfn.XLOOKUP(C62, tblActors[nome], tblActors[actor_id], ""), "")</f>
        <v/>
      </c>
      <c r="G62" s="15"/>
    </row>
    <row r="63" spans="2:7">
      <c r="B63" t="str">
        <f>IFERROR(_xlfn.XLOOKUP(C63, tblActors[nome], tblActors[actor_id], ""), "")</f>
        <v/>
      </c>
      <c r="G63" s="15"/>
    </row>
    <row r="64" spans="2:7">
      <c r="B64" t="str">
        <f>IFERROR(_xlfn.XLOOKUP(C64, tblActors[nome], tblActors[actor_id], ""), "")</f>
        <v/>
      </c>
      <c r="G64" s="15"/>
    </row>
    <row r="65" spans="2:7">
      <c r="B65" t="str">
        <f>IFERROR(_xlfn.XLOOKUP(C65, tblActors[nome], tblActors[actor_id], ""), "")</f>
        <v/>
      </c>
      <c r="G65" s="15"/>
    </row>
    <row r="66" spans="2:7">
      <c r="B66" t="str">
        <f>IFERROR(_xlfn.XLOOKUP(C66, tblActors[nome], tblActors[actor_id], ""), "")</f>
        <v/>
      </c>
      <c r="G66" s="15"/>
    </row>
    <row r="67" spans="2:7">
      <c r="B67" t="str">
        <f>IFERROR(_xlfn.XLOOKUP(C67, tblActors[nome], tblActors[actor_id], ""), "")</f>
        <v/>
      </c>
      <c r="G67" s="15"/>
    </row>
    <row r="68" spans="2:7">
      <c r="B68" t="str">
        <f>IFERROR(_xlfn.XLOOKUP(C68, tblActors[nome], tblActors[actor_id], ""), "")</f>
        <v/>
      </c>
      <c r="G68" s="15"/>
    </row>
    <row r="69" spans="2:7">
      <c r="B69" t="str">
        <f>IFERROR(_xlfn.XLOOKUP(C69, tblActors[nome], tblActors[actor_id], ""), "")</f>
        <v/>
      </c>
      <c r="G69" s="15"/>
    </row>
    <row r="70" spans="2:7">
      <c r="B70" t="str">
        <f>IFERROR(_xlfn.XLOOKUP(C70, tblActors[nome], tblActors[actor_id], ""), "")</f>
        <v/>
      </c>
      <c r="G70" s="15"/>
    </row>
    <row r="71" spans="2:7">
      <c r="B71" t="str">
        <f>IFERROR(_xlfn.XLOOKUP(C71, tblActors[nome], tblActors[actor_id], ""), "")</f>
        <v/>
      </c>
      <c r="G71" s="15"/>
    </row>
    <row r="72" spans="2:7">
      <c r="B72" t="str">
        <f>IFERROR(_xlfn.XLOOKUP(C72, tblActors[nome], tblActors[actor_id], ""), "")</f>
        <v/>
      </c>
      <c r="G72" s="15"/>
    </row>
    <row r="73" spans="2:7">
      <c r="B73" t="str">
        <f>IFERROR(_xlfn.XLOOKUP(C73, tblActors[nome], tblActors[actor_id], ""), "")</f>
        <v/>
      </c>
      <c r="G73" s="15"/>
    </row>
    <row r="74" spans="2:7">
      <c r="B74" t="str">
        <f>IFERROR(_xlfn.XLOOKUP(C74, tblActors[nome], tblActors[actor_id], ""), "")</f>
        <v/>
      </c>
      <c r="G74" s="15"/>
    </row>
    <row r="75" spans="2:7">
      <c r="B75" t="str">
        <f>IFERROR(_xlfn.XLOOKUP(C75, tblActors[nome], tblActors[actor_id], ""), "")</f>
        <v/>
      </c>
      <c r="G75" s="15"/>
    </row>
    <row r="76" spans="2:7">
      <c r="B76" t="str">
        <f>IFERROR(_xlfn.XLOOKUP(C76, tblActors[nome], tblActors[actor_id], ""), "")</f>
        <v/>
      </c>
      <c r="G76" s="15"/>
    </row>
    <row r="77" spans="2:7">
      <c r="B77" t="str">
        <f>IFERROR(_xlfn.XLOOKUP(C77, tblActors[nome], tblActors[actor_id], ""), "")</f>
        <v/>
      </c>
      <c r="G77" s="15"/>
    </row>
    <row r="78" spans="2:7">
      <c r="B78" t="str">
        <f>IFERROR(_xlfn.XLOOKUP(C78, tblActors[nome], tblActors[actor_id], ""), "")</f>
        <v/>
      </c>
      <c r="G78" s="15"/>
    </row>
    <row r="79" spans="2:7">
      <c r="B79" t="str">
        <f>IFERROR(_xlfn.XLOOKUP(C79, tblActors[nome], tblActors[actor_id], ""), "")</f>
        <v/>
      </c>
      <c r="G79" s="15"/>
    </row>
    <row r="80" spans="2:7">
      <c r="B80" t="str">
        <f>IFERROR(_xlfn.XLOOKUP(C80, tblActors[nome], tblActors[actor_id], ""), "")</f>
        <v/>
      </c>
      <c r="G80" s="15"/>
    </row>
    <row r="81" spans="2:7">
      <c r="B81" t="str">
        <f>IFERROR(_xlfn.XLOOKUP(C81, tblActors[nome], tblActors[actor_id], ""), "")</f>
        <v/>
      </c>
      <c r="G81" s="15"/>
    </row>
    <row r="82" spans="2:7">
      <c r="B82" t="str">
        <f>IFERROR(_xlfn.XLOOKUP(C82, tblActors[nome], tblActors[actor_id], ""), "")</f>
        <v/>
      </c>
      <c r="G82" s="15"/>
    </row>
    <row r="83" spans="2:7">
      <c r="B83" t="str">
        <f>IFERROR(_xlfn.XLOOKUP(C83, tblActors[nome], tblActors[actor_id], ""), "")</f>
        <v/>
      </c>
      <c r="G83" s="15"/>
    </row>
    <row r="84" spans="2:7">
      <c r="B84" t="str">
        <f>IFERROR(_xlfn.XLOOKUP(C84, tblActors[nome], tblActors[actor_id], ""), "")</f>
        <v/>
      </c>
      <c r="G84" s="15"/>
    </row>
    <row r="85" spans="2:7">
      <c r="B85" t="str">
        <f>IFERROR(_xlfn.XLOOKUP(C85, tblActors[nome], tblActors[actor_id], ""), "")</f>
        <v/>
      </c>
      <c r="G85" s="15"/>
    </row>
    <row r="86" spans="2:7">
      <c r="B86" t="str">
        <f>IFERROR(_xlfn.XLOOKUP(C86, tblActors[nome], tblActors[actor_id], ""), "")</f>
        <v/>
      </c>
      <c r="G86" s="15"/>
    </row>
    <row r="87" spans="2:7">
      <c r="B87" t="str">
        <f>IFERROR(_xlfn.XLOOKUP(C87, tblActors[nome], tblActors[actor_id], ""), "")</f>
        <v/>
      </c>
      <c r="G87" s="15"/>
    </row>
    <row r="88" spans="2:7">
      <c r="B88" t="str">
        <f>IFERROR(_xlfn.XLOOKUP(C88, tblActors[nome], tblActors[actor_id], ""), "")</f>
        <v/>
      </c>
      <c r="G88" s="15"/>
    </row>
    <row r="89" spans="2:7">
      <c r="B89" t="str">
        <f>IFERROR(_xlfn.XLOOKUP(C89, tblActors[nome], tblActors[actor_id], ""), "")</f>
        <v/>
      </c>
      <c r="G89" s="15"/>
    </row>
    <row r="90" spans="2:7">
      <c r="B90" t="str">
        <f>IFERROR(_xlfn.XLOOKUP(C90, tblActors[nome], tblActors[actor_id], ""), "")</f>
        <v/>
      </c>
      <c r="G90" s="15"/>
    </row>
    <row r="91" spans="2:7">
      <c r="B91" t="str">
        <f>IFERROR(_xlfn.XLOOKUP(C91, tblActors[nome], tblActors[actor_id], ""), "")</f>
        <v/>
      </c>
      <c r="G91" s="15"/>
    </row>
    <row r="92" spans="2:7">
      <c r="B92" t="str">
        <f>IFERROR(_xlfn.XLOOKUP(C92, tblActors[nome], tblActors[actor_id], ""), "")</f>
        <v/>
      </c>
      <c r="G92" s="15"/>
    </row>
    <row r="93" spans="2:7">
      <c r="B93" t="str">
        <f>IFERROR(_xlfn.XLOOKUP(C93, tblActors[nome], tblActors[actor_id], ""), "")</f>
        <v/>
      </c>
      <c r="G93" s="15"/>
    </row>
    <row r="94" spans="2:7">
      <c r="B94" t="str">
        <f>IFERROR(_xlfn.XLOOKUP(C94, tblActors[nome], tblActors[actor_id], ""), "")</f>
        <v/>
      </c>
      <c r="G94" s="15"/>
    </row>
    <row r="95" spans="2:7">
      <c r="B95" t="str">
        <f>IFERROR(_xlfn.XLOOKUP(C95, tblActors[nome], tblActors[actor_id], ""), "")</f>
        <v/>
      </c>
      <c r="G95" s="15"/>
    </row>
    <row r="96" spans="2:7">
      <c r="B96" t="str">
        <f>IFERROR(_xlfn.XLOOKUP(C96, tblActors[nome], tblActors[actor_id], ""), "")</f>
        <v/>
      </c>
      <c r="G96" s="15"/>
    </row>
    <row r="97" spans="2:7">
      <c r="B97" t="str">
        <f>IFERROR(_xlfn.XLOOKUP(C97, tblActors[nome], tblActors[actor_id], ""), "")</f>
        <v/>
      </c>
      <c r="G97" s="15"/>
    </row>
    <row r="98" spans="2:7">
      <c r="B98" t="str">
        <f>IFERROR(_xlfn.XLOOKUP(C98, tblActors[nome], tblActors[actor_id], ""), "")</f>
        <v/>
      </c>
      <c r="G98" s="15"/>
    </row>
    <row r="99" spans="2:7">
      <c r="B99" t="str">
        <f>IFERROR(_xlfn.XLOOKUP(C99, tblActors[nome], tblActors[actor_id], ""), "")</f>
        <v/>
      </c>
      <c r="G99" s="15"/>
    </row>
    <row r="100" spans="2:7">
      <c r="B100" t="str">
        <f>IFERROR(_xlfn.XLOOKUP(C100, tblActors[nome], tblActors[actor_id], ""), "")</f>
        <v/>
      </c>
      <c r="G100" s="15"/>
    </row>
    <row r="101" spans="2:7">
      <c r="B101" t="str">
        <f>IFERROR(_xlfn.XLOOKUP(C101, tblActors[nome], tblActors[actor_id], ""), "")</f>
        <v/>
      </c>
      <c r="G101" s="15"/>
    </row>
    <row r="102" spans="2:7">
      <c r="B102" t="str">
        <f>IFERROR(_xlfn.XLOOKUP(C102, tblActors[nome], tblActors[actor_id], ""), "")</f>
        <v/>
      </c>
      <c r="G102" s="15"/>
    </row>
    <row r="103" spans="2:7">
      <c r="B103" t="str">
        <f>IFERROR(_xlfn.XLOOKUP(C103, tblActors[nome], tblActors[actor_id], ""), "")</f>
        <v/>
      </c>
      <c r="G103" s="15"/>
    </row>
    <row r="104" spans="2:7">
      <c r="B104" t="str">
        <f>IFERROR(_xlfn.XLOOKUP(C104, tblActors[nome], tblActors[actor_id], ""), "")</f>
        <v/>
      </c>
      <c r="G104" s="15"/>
    </row>
    <row r="105" spans="2:7">
      <c r="B105" t="str">
        <f>IFERROR(_xlfn.XLOOKUP(C105, tblActors[nome], tblActors[actor_id], ""), "")</f>
        <v/>
      </c>
      <c r="G105" s="15"/>
    </row>
    <row r="106" spans="2:7">
      <c r="B106" t="str">
        <f>IFERROR(_xlfn.XLOOKUP(C106, tblActors[nome], tblActors[actor_id], ""), "")</f>
        <v/>
      </c>
      <c r="G106" s="15"/>
    </row>
    <row r="107" spans="2:7">
      <c r="B107" t="str">
        <f>IFERROR(_xlfn.XLOOKUP(C107, tblActors[nome], tblActors[actor_id], ""), "")</f>
        <v/>
      </c>
      <c r="G107" s="15"/>
    </row>
    <row r="108" spans="2:7">
      <c r="B108" t="str">
        <f>IFERROR(_xlfn.XLOOKUP(C108, tblActors[nome], tblActors[actor_id], ""), "")</f>
        <v/>
      </c>
      <c r="G108" s="15"/>
    </row>
    <row r="109" spans="2:7">
      <c r="B109" t="str">
        <f>IFERROR(_xlfn.XLOOKUP(C109, tblActors[nome], tblActors[actor_id], ""), "")</f>
        <v/>
      </c>
      <c r="G109" s="15"/>
    </row>
    <row r="110" spans="2:7">
      <c r="B110" t="str">
        <f>IFERROR(_xlfn.XLOOKUP(C110, tblActors[nome], tblActors[actor_id], ""), "")</f>
        <v/>
      </c>
      <c r="G110" s="15"/>
    </row>
    <row r="111" spans="2:7">
      <c r="B111" t="str">
        <f>IFERROR(_xlfn.XLOOKUP(C111, tblActors[nome], tblActors[actor_id], ""), "")</f>
        <v/>
      </c>
      <c r="G111" s="15"/>
    </row>
    <row r="112" spans="2:7">
      <c r="B112" t="str">
        <f>IFERROR(_xlfn.XLOOKUP(C112, tblActors[nome], tblActors[actor_id], ""), "")</f>
        <v/>
      </c>
      <c r="G112" s="15"/>
    </row>
    <row r="113" spans="2:7">
      <c r="B113" t="str">
        <f>IFERROR(_xlfn.XLOOKUP(C113, tblActors[nome], tblActors[actor_id], ""), "")</f>
        <v/>
      </c>
      <c r="G113" s="15"/>
    </row>
    <row r="114" spans="2:7">
      <c r="B114" t="str">
        <f>IFERROR(_xlfn.XLOOKUP(C114, tblActors[nome], tblActors[actor_id], ""), "")</f>
        <v/>
      </c>
      <c r="G114" s="15"/>
    </row>
    <row r="115" spans="2:7">
      <c r="B115" t="str">
        <f>IFERROR(_xlfn.XLOOKUP(C115, tblActors[nome], tblActors[actor_id], ""), "")</f>
        <v/>
      </c>
      <c r="G115" s="15"/>
    </row>
    <row r="116" spans="2:7">
      <c r="B116" t="str">
        <f>IFERROR(_xlfn.XLOOKUP(C116, tblActors[nome], tblActors[actor_id], ""), "")</f>
        <v/>
      </c>
      <c r="G116" s="15"/>
    </row>
    <row r="117" spans="2:7">
      <c r="B117" t="str">
        <f>IFERROR(_xlfn.XLOOKUP(C117, tblActors[nome], tblActors[actor_id], ""), "")</f>
        <v/>
      </c>
      <c r="G117" s="15"/>
    </row>
    <row r="118" spans="2:7">
      <c r="B118" t="str">
        <f>IFERROR(_xlfn.XLOOKUP(C118, tblActors[nome], tblActors[actor_id], ""), "")</f>
        <v/>
      </c>
      <c r="G118" s="15"/>
    </row>
    <row r="119" spans="2:7">
      <c r="B119" t="str">
        <f>IFERROR(_xlfn.XLOOKUP(C119, tblActors[nome], tblActors[actor_id], ""), "")</f>
        <v/>
      </c>
      <c r="G119" s="15"/>
    </row>
    <row r="120" spans="2:7">
      <c r="B120" t="str">
        <f>IFERROR(_xlfn.XLOOKUP(C120, tblActors[nome], tblActors[actor_id], ""), "")</f>
        <v/>
      </c>
      <c r="G120" s="15"/>
    </row>
    <row r="121" spans="2:7">
      <c r="B121" t="str">
        <f>IFERROR(_xlfn.XLOOKUP(C121, tblActors[nome], tblActors[actor_id], ""), "")</f>
        <v/>
      </c>
      <c r="G121" s="15"/>
    </row>
    <row r="122" spans="2:7">
      <c r="B122" t="str">
        <f>IFERROR(_xlfn.XLOOKUP(C122, tblActors[nome], tblActors[actor_id], ""), "")</f>
        <v/>
      </c>
      <c r="G122" s="15"/>
    </row>
    <row r="123" spans="2:7">
      <c r="B123" t="str">
        <f>IFERROR(_xlfn.XLOOKUP(C123, tblActors[nome], tblActors[actor_id], ""), "")</f>
        <v/>
      </c>
      <c r="G123" s="15"/>
    </row>
    <row r="124" spans="2:7">
      <c r="B124" t="str">
        <f>IFERROR(_xlfn.XLOOKUP(C124, tblActors[nome], tblActors[actor_id], ""), "")</f>
        <v/>
      </c>
      <c r="G124" s="15"/>
    </row>
    <row r="125" spans="2:7">
      <c r="B125" t="str">
        <f>IFERROR(_xlfn.XLOOKUP(C125, tblActors[nome], tblActors[actor_id], ""), "")</f>
        <v/>
      </c>
      <c r="G125" s="15"/>
    </row>
    <row r="126" spans="2:7">
      <c r="B126" t="str">
        <f>IFERROR(_xlfn.XLOOKUP(C126, tblActors[nome], tblActors[actor_id], ""), "")</f>
        <v/>
      </c>
      <c r="G126" s="15"/>
    </row>
    <row r="127" spans="2:7">
      <c r="B127" t="str">
        <f>IFERROR(_xlfn.XLOOKUP(C127, tblActors[nome], tblActors[actor_id], ""), "")</f>
        <v/>
      </c>
      <c r="G127" s="15"/>
    </row>
    <row r="128" spans="2:7">
      <c r="B128" t="str">
        <f>IFERROR(_xlfn.XLOOKUP(C128, tblActors[nome], tblActors[actor_id], ""), "")</f>
        <v/>
      </c>
      <c r="G128" s="15"/>
    </row>
    <row r="129" spans="2:7">
      <c r="B129" t="str">
        <f>IFERROR(_xlfn.XLOOKUP(C129, tblActors[nome], tblActors[actor_id], ""), "")</f>
        <v/>
      </c>
      <c r="G129" s="15"/>
    </row>
    <row r="130" spans="2:7">
      <c r="B130" t="str">
        <f>IFERROR(_xlfn.XLOOKUP(C130, tblActors[nome], tblActors[actor_id], ""), "")</f>
        <v/>
      </c>
      <c r="G130" s="15"/>
    </row>
    <row r="131" spans="2:7">
      <c r="B131" t="str">
        <f>IFERROR(_xlfn.XLOOKUP(C131, tblActors[nome], tblActors[actor_id], ""), "")</f>
        <v/>
      </c>
      <c r="G131" s="15"/>
    </row>
    <row r="132" spans="2:7">
      <c r="B132" t="str">
        <f>IFERROR(_xlfn.XLOOKUP(C132, tblActors[nome], tblActors[actor_id], ""), "")</f>
        <v/>
      </c>
      <c r="G132" s="15"/>
    </row>
    <row r="133" spans="2:7">
      <c r="B133" t="str">
        <f>IFERROR(_xlfn.XLOOKUP(C133, tblActors[nome], tblActors[actor_id], ""), "")</f>
        <v/>
      </c>
      <c r="G133" s="15"/>
    </row>
    <row r="134" spans="2:7">
      <c r="B134" t="str">
        <f>IFERROR(_xlfn.XLOOKUP(C134, tblActors[nome], tblActors[actor_id], ""), "")</f>
        <v/>
      </c>
      <c r="G134" s="15"/>
    </row>
    <row r="135" spans="2:7">
      <c r="B135" t="str">
        <f>IFERROR(_xlfn.XLOOKUP(C135, tblActors[nome], tblActors[actor_id], ""), "")</f>
        <v/>
      </c>
      <c r="G135" s="15"/>
    </row>
    <row r="136" spans="2:7">
      <c r="B136" t="str">
        <f>IFERROR(_xlfn.XLOOKUP(C136, tblActors[nome], tblActors[actor_id], ""), "")</f>
        <v/>
      </c>
      <c r="G136" s="15"/>
    </row>
    <row r="137" spans="2:7">
      <c r="B137" t="str">
        <f>IFERROR(_xlfn.XLOOKUP(C137, tblActors[nome], tblActors[actor_id], ""), "")</f>
        <v/>
      </c>
      <c r="G137" s="15"/>
    </row>
    <row r="138" spans="2:7">
      <c r="B138" t="str">
        <f>IFERROR(_xlfn.XLOOKUP(C138, tblActors[nome], tblActors[actor_id], ""), "")</f>
        <v/>
      </c>
      <c r="G138" s="15"/>
    </row>
    <row r="139" spans="2:7">
      <c r="B139" t="str">
        <f>IFERROR(_xlfn.XLOOKUP(C139, tblActors[nome], tblActors[actor_id], ""), "")</f>
        <v/>
      </c>
      <c r="G139" s="15"/>
    </row>
    <row r="140" spans="2:7">
      <c r="B140" t="str">
        <f>IFERROR(_xlfn.XLOOKUP(C140, tblActors[nome], tblActors[actor_id], ""), "")</f>
        <v/>
      </c>
      <c r="G140" s="15"/>
    </row>
    <row r="141" spans="2:7">
      <c r="B141" t="str">
        <f>IFERROR(_xlfn.XLOOKUP(C141, tblActors[nome], tblActors[actor_id], ""), "")</f>
        <v/>
      </c>
      <c r="G141" s="15"/>
    </row>
    <row r="142" spans="2:7">
      <c r="B142" t="str">
        <f>IFERROR(_xlfn.XLOOKUP(C142, tblActors[nome], tblActors[actor_id], ""), "")</f>
        <v/>
      </c>
      <c r="G142" s="15"/>
    </row>
    <row r="143" spans="2:7">
      <c r="B143" t="str">
        <f>IFERROR(_xlfn.XLOOKUP(C143, tblActors[nome], tblActors[actor_id], ""), "")</f>
        <v/>
      </c>
      <c r="G143" s="15"/>
    </row>
    <row r="144" spans="2:7">
      <c r="B144" t="str">
        <f>IFERROR(_xlfn.XLOOKUP(C144, tblActors[nome], tblActors[actor_id], ""), "")</f>
        <v/>
      </c>
      <c r="G144" s="15"/>
    </row>
    <row r="145" spans="2:7">
      <c r="B145" t="str">
        <f>IFERROR(_xlfn.XLOOKUP(C145, tblActors[nome], tblActors[actor_id], ""), "")</f>
        <v/>
      </c>
      <c r="G145" s="15"/>
    </row>
    <row r="146" spans="2:7">
      <c r="B146" t="str">
        <f>IFERROR(_xlfn.XLOOKUP(C146, tblActors[nome], tblActors[actor_id], ""), "")</f>
        <v/>
      </c>
      <c r="G146" s="15"/>
    </row>
    <row r="147" spans="2:7">
      <c r="B147" t="str">
        <f>IFERROR(_xlfn.XLOOKUP(C147, tblActors[nome], tblActors[actor_id], ""), "")</f>
        <v/>
      </c>
      <c r="G147" s="15"/>
    </row>
    <row r="148" spans="2:7">
      <c r="B148" t="str">
        <f>IFERROR(_xlfn.XLOOKUP(C148, tblActors[nome], tblActors[actor_id], ""), "")</f>
        <v/>
      </c>
      <c r="G148" s="15"/>
    </row>
    <row r="149" spans="2:7">
      <c r="B149" t="str">
        <f>IFERROR(_xlfn.XLOOKUP(C149, tblActors[nome], tblActors[actor_id], ""), "")</f>
        <v/>
      </c>
      <c r="G149" s="15"/>
    </row>
    <row r="150" spans="2:7">
      <c r="B150" t="str">
        <f>IFERROR(_xlfn.XLOOKUP(C150, tblActors[nome], tblActors[actor_id], ""), "")</f>
        <v/>
      </c>
      <c r="G150" s="15"/>
    </row>
    <row r="151" spans="2:7">
      <c r="B151" t="str">
        <f>IFERROR(_xlfn.XLOOKUP(C151, tblActors[nome], tblActors[actor_id], ""), "")</f>
        <v/>
      </c>
      <c r="G151" s="15"/>
    </row>
    <row r="152" spans="2:7">
      <c r="B152" t="str">
        <f>IFERROR(_xlfn.XLOOKUP(C152, tblActors[nome], tblActors[actor_id], ""), "")</f>
        <v/>
      </c>
      <c r="G152" s="15"/>
    </row>
    <row r="153" spans="2:7">
      <c r="B153" t="str">
        <f>IFERROR(_xlfn.XLOOKUP(C153, tblActors[nome], tblActors[actor_id], ""), "")</f>
        <v/>
      </c>
      <c r="G153" s="15"/>
    </row>
    <row r="154" spans="2:7">
      <c r="B154" t="str">
        <f>IFERROR(_xlfn.XLOOKUP(C154, tblActors[nome], tblActors[actor_id], ""), "")</f>
        <v/>
      </c>
      <c r="G154" s="15"/>
    </row>
    <row r="155" spans="2:7">
      <c r="B155" t="str">
        <f>IFERROR(_xlfn.XLOOKUP(C155, tblActors[nome], tblActors[actor_id], ""), "")</f>
        <v/>
      </c>
      <c r="G155" s="15"/>
    </row>
    <row r="156" spans="2:7">
      <c r="B156" t="str">
        <f>IFERROR(_xlfn.XLOOKUP(C156, tblActors[nome], tblActors[actor_id], ""), "")</f>
        <v/>
      </c>
      <c r="G156" s="15"/>
    </row>
    <row r="157" spans="2:7">
      <c r="B157" t="str">
        <f>IFERROR(_xlfn.XLOOKUP(C157, tblActors[nome], tblActors[actor_id], ""), "")</f>
        <v/>
      </c>
      <c r="G157" s="15"/>
    </row>
    <row r="158" spans="2:7">
      <c r="B158" t="str">
        <f>IFERROR(_xlfn.XLOOKUP(C158, tblActors[nome], tblActors[actor_id], ""), "")</f>
        <v/>
      </c>
      <c r="G158" s="15"/>
    </row>
    <row r="159" spans="2:7">
      <c r="B159" t="str">
        <f>IFERROR(_xlfn.XLOOKUP(C159, tblActors[nome], tblActors[actor_id], ""), "")</f>
        <v/>
      </c>
      <c r="G159" s="15"/>
    </row>
    <row r="160" spans="2:7">
      <c r="B160" t="str">
        <f>IFERROR(_xlfn.XLOOKUP(C160, tblActors[nome], tblActors[actor_id], ""), "")</f>
        <v/>
      </c>
      <c r="G160" s="15"/>
    </row>
    <row r="161" spans="2:7">
      <c r="B161" t="str">
        <f>IFERROR(_xlfn.XLOOKUP(C161, tblActors[nome], tblActors[actor_id], ""), "")</f>
        <v/>
      </c>
      <c r="G161" s="15"/>
    </row>
    <row r="162" spans="2:7">
      <c r="B162" t="str">
        <f>IFERROR(_xlfn.XLOOKUP(C162, tblActors[nome], tblActors[actor_id], ""), "")</f>
        <v/>
      </c>
      <c r="G162" s="15"/>
    </row>
    <row r="163" spans="2:7">
      <c r="B163" t="str">
        <f>IFERROR(_xlfn.XLOOKUP(C163, tblActors[nome], tblActors[actor_id], ""), "")</f>
        <v/>
      </c>
      <c r="G163" s="15"/>
    </row>
    <row r="164" spans="2:7">
      <c r="B164" t="str">
        <f>IFERROR(_xlfn.XLOOKUP(C164, tblActors[nome], tblActors[actor_id], ""), "")</f>
        <v/>
      </c>
      <c r="G164" s="15"/>
    </row>
    <row r="165" spans="2:7">
      <c r="B165" t="str">
        <f>IFERROR(_xlfn.XLOOKUP(C165, tblActors[nome], tblActors[actor_id], ""), "")</f>
        <v/>
      </c>
      <c r="G165" s="15"/>
    </row>
    <row r="166" spans="2:7">
      <c r="B166" t="str">
        <f>IFERROR(_xlfn.XLOOKUP(C166, tblActors[nome], tblActors[actor_id], ""), "")</f>
        <v/>
      </c>
      <c r="G166" s="15"/>
    </row>
    <row r="167" spans="2:7">
      <c r="B167" t="str">
        <f>IFERROR(_xlfn.XLOOKUP(C167, tblActors[nome], tblActors[actor_id], ""), "")</f>
        <v/>
      </c>
      <c r="G167" s="15"/>
    </row>
    <row r="168" spans="2:7">
      <c r="B168" t="str">
        <f>IFERROR(_xlfn.XLOOKUP(C168, tblActors[nome], tblActors[actor_id], ""), "")</f>
        <v/>
      </c>
      <c r="G168" s="15"/>
    </row>
    <row r="169" spans="2:7">
      <c r="B169" t="str">
        <f>IFERROR(_xlfn.XLOOKUP(C169, tblActors[nome], tblActors[actor_id], ""), "")</f>
        <v/>
      </c>
      <c r="G169" s="15"/>
    </row>
    <row r="170" spans="2:7">
      <c r="B170" t="str">
        <f>IFERROR(_xlfn.XLOOKUP(C170, tblActors[nome], tblActors[actor_id], ""), "")</f>
        <v/>
      </c>
      <c r="G170" s="15"/>
    </row>
    <row r="171" spans="2:7">
      <c r="B171" t="str">
        <f>IFERROR(_xlfn.XLOOKUP(C171, tblActors[nome], tblActors[actor_id], ""), "")</f>
        <v/>
      </c>
      <c r="G171" s="15"/>
    </row>
    <row r="172" spans="2:7">
      <c r="B172" t="str">
        <f>IFERROR(_xlfn.XLOOKUP(C172, tblActors[nome], tblActors[actor_id], ""), "")</f>
        <v/>
      </c>
      <c r="G172" s="15"/>
    </row>
    <row r="173" spans="2:7">
      <c r="B173" t="str">
        <f>IFERROR(_xlfn.XLOOKUP(C173, tblActors[nome], tblActors[actor_id], ""), "")</f>
        <v/>
      </c>
      <c r="G173" s="15"/>
    </row>
    <row r="174" spans="2:7">
      <c r="B174" t="str">
        <f>IFERROR(_xlfn.XLOOKUP(C174, tblActors[nome], tblActors[actor_id], ""), "")</f>
        <v/>
      </c>
      <c r="G174" s="15"/>
    </row>
    <row r="175" spans="2:7">
      <c r="B175" t="str">
        <f>IFERROR(_xlfn.XLOOKUP(C175, tblActors[nome], tblActors[actor_id], ""), "")</f>
        <v/>
      </c>
      <c r="G175" s="15"/>
    </row>
    <row r="176" spans="2:7">
      <c r="B176" t="str">
        <f>IFERROR(_xlfn.XLOOKUP(C176, tblActors[nome], tblActors[actor_id], ""), "")</f>
        <v/>
      </c>
      <c r="G176" s="15"/>
    </row>
    <row r="177" spans="2:7">
      <c r="B177" t="str">
        <f>IFERROR(_xlfn.XLOOKUP(C177, tblActors[nome], tblActors[actor_id], ""), "")</f>
        <v/>
      </c>
      <c r="G177" s="15"/>
    </row>
    <row r="178" spans="2:7">
      <c r="B178" t="str">
        <f>IFERROR(_xlfn.XLOOKUP(C178, tblActors[nome], tblActors[actor_id], ""), "")</f>
        <v/>
      </c>
      <c r="G178" s="15"/>
    </row>
    <row r="179" spans="2:7">
      <c r="B179" t="str">
        <f>IFERROR(_xlfn.XLOOKUP(C179, tblActors[nome], tblActors[actor_id], ""), "")</f>
        <v/>
      </c>
      <c r="G179" s="15"/>
    </row>
    <row r="180" spans="2:7">
      <c r="B180" t="str">
        <f>IFERROR(_xlfn.XLOOKUP(C180, tblActors[nome], tblActors[actor_id], ""), "")</f>
        <v/>
      </c>
      <c r="G180" s="15"/>
    </row>
    <row r="181" spans="2:7">
      <c r="B181" t="str">
        <f>IFERROR(_xlfn.XLOOKUP(C181, tblActors[nome], tblActors[actor_id], ""), "")</f>
        <v/>
      </c>
      <c r="G181" s="15"/>
    </row>
    <row r="182" spans="2:7">
      <c r="B182" t="str">
        <f>IFERROR(_xlfn.XLOOKUP(C182, tblActors[nome], tblActors[actor_id], ""), "")</f>
        <v/>
      </c>
      <c r="G182" s="15"/>
    </row>
    <row r="183" spans="2:7">
      <c r="B183" t="str">
        <f>IFERROR(_xlfn.XLOOKUP(C183, tblActors[nome], tblActors[actor_id], ""), "")</f>
        <v/>
      </c>
      <c r="G183" s="15"/>
    </row>
    <row r="184" spans="2:7">
      <c r="B184" t="str">
        <f>IFERROR(_xlfn.XLOOKUP(C184, tblActors[nome], tblActors[actor_id], ""), "")</f>
        <v/>
      </c>
      <c r="G184" s="15"/>
    </row>
    <row r="185" spans="2:7">
      <c r="B185" t="str">
        <f>IFERROR(_xlfn.XLOOKUP(C185, tblActors[nome], tblActors[actor_id], ""), "")</f>
        <v/>
      </c>
      <c r="G185" s="15"/>
    </row>
    <row r="186" spans="2:7">
      <c r="B186" t="str">
        <f>IFERROR(_xlfn.XLOOKUP(C186, tblActors[nome], tblActors[actor_id], ""), "")</f>
        <v/>
      </c>
      <c r="G186" s="15"/>
    </row>
    <row r="187" spans="2:7">
      <c r="B187" t="str">
        <f>IFERROR(_xlfn.XLOOKUP(C187, tblActors[nome], tblActors[actor_id], ""), "")</f>
        <v/>
      </c>
      <c r="G187" s="15"/>
    </row>
    <row r="188" spans="2:7">
      <c r="B188" t="str">
        <f>IFERROR(_xlfn.XLOOKUP(C188, tblActors[nome], tblActors[actor_id], ""), "")</f>
        <v/>
      </c>
      <c r="G188" s="15"/>
    </row>
    <row r="189" spans="2:7">
      <c r="B189" t="str">
        <f>IFERROR(_xlfn.XLOOKUP(C189, tblActors[nome], tblActors[actor_id], ""), "")</f>
        <v/>
      </c>
      <c r="G189" s="15"/>
    </row>
    <row r="190" spans="2:7">
      <c r="B190" t="str">
        <f>IFERROR(_xlfn.XLOOKUP(C190, tblActors[nome], tblActors[actor_id], ""), "")</f>
        <v/>
      </c>
      <c r="G190" s="15"/>
    </row>
    <row r="191" spans="2:7">
      <c r="B191" t="str">
        <f>IFERROR(_xlfn.XLOOKUP(C191, tblActors[nome], tblActors[actor_id], ""), "")</f>
        <v/>
      </c>
      <c r="G191" s="15"/>
    </row>
    <row r="192" spans="2:7">
      <c r="B192" t="str">
        <f>IFERROR(_xlfn.XLOOKUP(C192, tblActors[nome], tblActors[actor_id], ""), "")</f>
        <v/>
      </c>
      <c r="G192" s="15"/>
    </row>
    <row r="193" spans="2:7">
      <c r="B193" t="str">
        <f>IFERROR(_xlfn.XLOOKUP(C193, tblActors[nome], tblActors[actor_id], ""), "")</f>
        <v/>
      </c>
      <c r="G193" s="15"/>
    </row>
    <row r="194" spans="2:7">
      <c r="B194" t="str">
        <f>IFERROR(_xlfn.XLOOKUP(C194, tblActors[nome], tblActors[actor_id], ""), "")</f>
        <v/>
      </c>
      <c r="G194" s="15"/>
    </row>
    <row r="195" spans="2:7">
      <c r="B195" t="str">
        <f>IFERROR(_xlfn.XLOOKUP(C195, tblActors[nome], tblActors[actor_id], ""), "")</f>
        <v/>
      </c>
      <c r="G195" s="15"/>
    </row>
    <row r="196" spans="2:7">
      <c r="B196" t="str">
        <f>IFERROR(_xlfn.XLOOKUP(C196, tblActors[nome], tblActors[actor_id], ""), "")</f>
        <v/>
      </c>
      <c r="G196" s="15"/>
    </row>
    <row r="197" spans="2:7">
      <c r="B197" t="str">
        <f>IFERROR(_xlfn.XLOOKUP(C197, tblActors[nome], tblActors[actor_id], ""), "")</f>
        <v/>
      </c>
      <c r="G197" s="15"/>
    </row>
    <row r="198" spans="2:7">
      <c r="B198" t="str">
        <f>IFERROR(_xlfn.XLOOKUP(C198, tblActors[nome], tblActors[actor_id], ""), "")</f>
        <v/>
      </c>
      <c r="G198" s="15"/>
    </row>
    <row r="199" spans="2:7">
      <c r="B199" t="str">
        <f>IFERROR(_xlfn.XLOOKUP(C199, tblActors[nome], tblActors[actor_id], ""), "")</f>
        <v/>
      </c>
      <c r="G199" s="15"/>
    </row>
    <row r="200" spans="2:7">
      <c r="B200" t="str">
        <f>IFERROR(_xlfn.XLOOKUP(C200, tblActors[nome], tblActors[actor_id], ""), "")</f>
        <v/>
      </c>
      <c r="G200" s="15"/>
    </row>
    <row r="201" spans="2:7">
      <c r="B201" t="str">
        <f>IFERROR(_xlfn.XLOOKUP(C201, tblActors[nome], tblActors[actor_id], ""), "")</f>
        <v/>
      </c>
      <c r="G201" s="15"/>
    </row>
    <row r="202" spans="2:7">
      <c r="B202" t="str">
        <f>IFERROR(_xlfn.XLOOKUP(C202, tblActors[nome], tblActors[actor_id], ""), "")</f>
        <v/>
      </c>
      <c r="G202" s="15"/>
    </row>
    <row r="203" spans="2:7">
      <c r="B203" t="str">
        <f>IFERROR(_xlfn.XLOOKUP(C203, tblActors[nome], tblActors[actor_id], ""), "")</f>
        <v/>
      </c>
      <c r="G203" s="15"/>
    </row>
    <row r="204" spans="2:7">
      <c r="B204" t="str">
        <f>IFERROR(_xlfn.XLOOKUP(C204, tblActors[nome], tblActors[actor_id], ""), "")</f>
        <v/>
      </c>
      <c r="G204" s="15"/>
    </row>
    <row r="205" spans="2:7">
      <c r="B205" t="str">
        <f>IFERROR(_xlfn.XLOOKUP(C205, tblActors[nome], tblActors[actor_id], ""), "")</f>
        <v/>
      </c>
      <c r="G205" s="15"/>
    </row>
    <row r="206" spans="2:7">
      <c r="B206" t="str">
        <f>IFERROR(_xlfn.XLOOKUP(C206, tblActors[nome], tblActors[actor_id], ""), "")</f>
        <v/>
      </c>
      <c r="G206" s="15"/>
    </row>
    <row r="207" spans="2:7">
      <c r="B207" t="str">
        <f>IFERROR(_xlfn.XLOOKUP(C207, tblActors[nome], tblActors[actor_id], ""), "")</f>
        <v/>
      </c>
      <c r="G207" s="15"/>
    </row>
    <row r="208" spans="2:7">
      <c r="B208" t="str">
        <f>IFERROR(_xlfn.XLOOKUP(C208, tblActors[nome], tblActors[actor_id], ""), "")</f>
        <v/>
      </c>
      <c r="G208" s="15"/>
    </row>
    <row r="209" spans="2:7">
      <c r="B209" t="str">
        <f>IFERROR(_xlfn.XLOOKUP(C209, tblActors[nome], tblActors[actor_id], ""), "")</f>
        <v/>
      </c>
      <c r="G209" s="15"/>
    </row>
    <row r="210" spans="2:7">
      <c r="B210" t="str">
        <f>IFERROR(_xlfn.XLOOKUP(C210, tblActors[nome], tblActors[actor_id], ""), "")</f>
        <v/>
      </c>
      <c r="G210" s="15"/>
    </row>
    <row r="211" spans="2:7">
      <c r="B211" t="str">
        <f>IFERROR(_xlfn.XLOOKUP(C211, tblActors[nome], tblActors[actor_id], ""), "")</f>
        <v/>
      </c>
      <c r="G211" s="15"/>
    </row>
    <row r="212" spans="2:7">
      <c r="B212" t="str">
        <f>IFERROR(_xlfn.XLOOKUP(C212, tblActors[nome], tblActors[actor_id], ""), "")</f>
        <v/>
      </c>
      <c r="G212" s="15"/>
    </row>
    <row r="213" spans="2:7">
      <c r="B213" t="str">
        <f>IFERROR(_xlfn.XLOOKUP(C213, tblActors[nome], tblActors[actor_id], ""), "")</f>
        <v/>
      </c>
      <c r="G213" s="15"/>
    </row>
    <row r="214" spans="2:7">
      <c r="B214" t="str">
        <f>IFERROR(_xlfn.XLOOKUP(C214, tblActors[nome], tblActors[actor_id], ""), "")</f>
        <v/>
      </c>
      <c r="G214" s="15"/>
    </row>
    <row r="215" spans="2:7">
      <c r="B215" t="str">
        <f>IFERROR(_xlfn.XLOOKUP(C215, tblActors[nome], tblActors[actor_id], ""), "")</f>
        <v/>
      </c>
      <c r="G215" s="15"/>
    </row>
    <row r="216" spans="2:7">
      <c r="B216" t="str">
        <f>IFERROR(_xlfn.XLOOKUP(C216, tblActors[nome], tblActors[actor_id], ""), "")</f>
        <v/>
      </c>
      <c r="G216" s="15"/>
    </row>
    <row r="217" spans="2:7">
      <c r="B217" t="str">
        <f>IFERROR(_xlfn.XLOOKUP(C217, tblActors[nome], tblActors[actor_id], ""), "")</f>
        <v/>
      </c>
      <c r="G217" s="15"/>
    </row>
    <row r="218" spans="2:7">
      <c r="B218" t="str">
        <f>IFERROR(_xlfn.XLOOKUP(C218, tblActors[nome], tblActors[actor_id], ""), "")</f>
        <v/>
      </c>
      <c r="G218" s="15"/>
    </row>
    <row r="219" spans="2:7">
      <c r="B219" t="str">
        <f>IFERROR(_xlfn.XLOOKUP(C219, tblActors[nome], tblActors[actor_id], ""), "")</f>
        <v/>
      </c>
      <c r="G219" s="15"/>
    </row>
    <row r="220" spans="2:7">
      <c r="B220" t="str">
        <f>IFERROR(_xlfn.XLOOKUP(C220, tblActors[nome], tblActors[actor_id], ""), "")</f>
        <v/>
      </c>
      <c r="G220" s="15"/>
    </row>
    <row r="221" spans="2:7">
      <c r="B221" t="str">
        <f>IFERROR(_xlfn.XLOOKUP(C221, tblActors[nome], tblActors[actor_id], ""), "")</f>
        <v/>
      </c>
      <c r="G221" s="15"/>
    </row>
    <row r="222" spans="2:7">
      <c r="B222" t="str">
        <f>IFERROR(_xlfn.XLOOKUP(C222, tblActors[nome], tblActors[actor_id], ""), "")</f>
        <v/>
      </c>
      <c r="G222" s="15"/>
    </row>
    <row r="223" spans="2:7">
      <c r="B223" t="str">
        <f>IFERROR(_xlfn.XLOOKUP(C223, tblActors[nome], tblActors[actor_id], ""), "")</f>
        <v/>
      </c>
      <c r="G223" s="15"/>
    </row>
    <row r="224" spans="2:7">
      <c r="B224" t="str">
        <f>IFERROR(_xlfn.XLOOKUP(C224, tblActors[nome], tblActors[actor_id], ""), "")</f>
        <v/>
      </c>
      <c r="G224" s="15"/>
    </row>
    <row r="225" spans="2:7">
      <c r="B225" t="str">
        <f>IFERROR(_xlfn.XLOOKUP(C225, tblActors[nome], tblActors[actor_id], ""), "")</f>
        <v/>
      </c>
      <c r="G225" s="15"/>
    </row>
    <row r="226" spans="2:7">
      <c r="B226" t="str">
        <f>IFERROR(_xlfn.XLOOKUP(C226, tblActors[nome], tblActors[actor_id], ""), "")</f>
        <v/>
      </c>
      <c r="G226" s="15"/>
    </row>
    <row r="227" spans="2:7">
      <c r="B227" t="str">
        <f>IFERROR(_xlfn.XLOOKUP(C227, tblActors[nome], tblActors[actor_id], ""), "")</f>
        <v/>
      </c>
      <c r="G227" s="15"/>
    </row>
    <row r="228" spans="2:7">
      <c r="B228" t="str">
        <f>IFERROR(_xlfn.XLOOKUP(C228, tblActors[nome], tblActors[actor_id], ""), "")</f>
        <v/>
      </c>
      <c r="G228" s="15"/>
    </row>
    <row r="229" spans="2:7">
      <c r="B229" t="str">
        <f>IFERROR(_xlfn.XLOOKUP(C229, tblActors[nome], tblActors[actor_id], ""), "")</f>
        <v/>
      </c>
      <c r="G229" s="15"/>
    </row>
    <row r="230" spans="2:7">
      <c r="B230" t="str">
        <f>IFERROR(_xlfn.XLOOKUP(C230, tblActors[nome], tblActors[actor_id], ""), "")</f>
        <v/>
      </c>
      <c r="G230" s="15"/>
    </row>
    <row r="231" spans="2:7">
      <c r="B231" t="str">
        <f>IFERROR(_xlfn.XLOOKUP(C231, tblActors[nome], tblActors[actor_id], ""), "")</f>
        <v/>
      </c>
      <c r="G231" s="15"/>
    </row>
    <row r="232" spans="2:7">
      <c r="B232" t="str">
        <f>IFERROR(_xlfn.XLOOKUP(C232, tblActors[nome], tblActors[actor_id], ""), "")</f>
        <v/>
      </c>
      <c r="G232" s="15"/>
    </row>
    <row r="233" spans="2:7">
      <c r="B233" t="str">
        <f>IFERROR(_xlfn.XLOOKUP(C233, tblActors[nome], tblActors[actor_id], ""), "")</f>
        <v/>
      </c>
      <c r="G233" s="15"/>
    </row>
    <row r="234" spans="2:7">
      <c r="B234" t="str">
        <f>IFERROR(_xlfn.XLOOKUP(C234, tblActors[nome], tblActors[actor_id], ""), "")</f>
        <v/>
      </c>
      <c r="G234" s="15"/>
    </row>
    <row r="235" spans="2:7">
      <c r="B235" t="str">
        <f>IFERROR(_xlfn.XLOOKUP(C235, tblActors[nome], tblActors[actor_id], ""), "")</f>
        <v/>
      </c>
      <c r="G235" s="15"/>
    </row>
    <row r="236" spans="2:7">
      <c r="B236" t="str">
        <f>IFERROR(_xlfn.XLOOKUP(C236, tblActors[nome], tblActors[actor_id], ""), "")</f>
        <v/>
      </c>
      <c r="G236" s="15"/>
    </row>
    <row r="237" spans="2:7">
      <c r="B237" t="str">
        <f>IFERROR(_xlfn.XLOOKUP(C237, tblActors[nome], tblActors[actor_id], ""), "")</f>
        <v/>
      </c>
      <c r="G237" s="15"/>
    </row>
    <row r="238" spans="2:7">
      <c r="B238" t="str">
        <f>IFERROR(_xlfn.XLOOKUP(C238, tblActors[nome], tblActors[actor_id], ""), "")</f>
        <v/>
      </c>
      <c r="G238" s="15"/>
    </row>
    <row r="239" spans="2:7">
      <c r="B239" t="str">
        <f>IFERROR(_xlfn.XLOOKUP(C239, tblActors[nome], tblActors[actor_id], ""), "")</f>
        <v/>
      </c>
      <c r="G239" s="15"/>
    </row>
    <row r="240" spans="2:7">
      <c r="B240" t="str">
        <f>IFERROR(_xlfn.XLOOKUP(C240, tblActors[nome], tblActors[actor_id], ""), "")</f>
        <v/>
      </c>
      <c r="G240" s="15"/>
    </row>
    <row r="241" spans="2:7">
      <c r="B241" t="str">
        <f>IFERROR(_xlfn.XLOOKUP(C241, tblActors[nome], tblActors[actor_id], ""), "")</f>
        <v/>
      </c>
      <c r="G241" s="15"/>
    </row>
    <row r="242" spans="2:7">
      <c r="B242" t="str">
        <f>IFERROR(_xlfn.XLOOKUP(C242, tblActors[nome], tblActors[actor_id], ""), "")</f>
        <v/>
      </c>
      <c r="G242" s="15"/>
    </row>
    <row r="243" spans="2:7">
      <c r="B243" t="str">
        <f>IFERROR(_xlfn.XLOOKUP(C243, tblActors[nome], tblActors[actor_id], ""), "")</f>
        <v/>
      </c>
      <c r="G243" s="15"/>
    </row>
    <row r="244" spans="2:7">
      <c r="B244" t="str">
        <f>IFERROR(_xlfn.XLOOKUP(C244, tblActors[nome], tblActors[actor_id], ""), "")</f>
        <v/>
      </c>
      <c r="G244" s="15"/>
    </row>
    <row r="245" spans="2:7">
      <c r="B245" t="str">
        <f>IFERROR(_xlfn.XLOOKUP(C245, tblActors[nome], tblActors[actor_id], ""), "")</f>
        <v/>
      </c>
      <c r="G245" s="15"/>
    </row>
    <row r="246" spans="2:7">
      <c r="B246" t="str">
        <f>IFERROR(_xlfn.XLOOKUP(C246, tblActors[nome], tblActors[actor_id], ""), "")</f>
        <v/>
      </c>
      <c r="G246" s="15"/>
    </row>
    <row r="247" spans="2:7">
      <c r="B247" t="str">
        <f>IFERROR(_xlfn.XLOOKUP(C247, tblActors[nome], tblActors[actor_id], ""), "")</f>
        <v/>
      </c>
      <c r="G247" s="15"/>
    </row>
    <row r="248" spans="2:7">
      <c r="B248" t="str">
        <f>IFERROR(_xlfn.XLOOKUP(C248, tblActors[nome], tblActors[actor_id], ""), "")</f>
        <v/>
      </c>
      <c r="G248" s="15"/>
    </row>
    <row r="249" spans="2:7">
      <c r="B249" t="str">
        <f>IFERROR(_xlfn.XLOOKUP(C249, tblActors[nome], tblActors[actor_id], ""), "")</f>
        <v/>
      </c>
      <c r="G249" s="15"/>
    </row>
    <row r="250" spans="2:7">
      <c r="B250" t="str">
        <f>IFERROR(_xlfn.XLOOKUP(C250, tblActors[nome], tblActors[actor_id], ""), "")</f>
        <v/>
      </c>
      <c r="G250" s="15"/>
    </row>
    <row r="251" spans="2:7">
      <c r="B251" t="str">
        <f>IFERROR(_xlfn.XLOOKUP(C251, tblActors[nome], tblActors[actor_id], ""), "")</f>
        <v/>
      </c>
      <c r="G251" s="15"/>
    </row>
    <row r="252" spans="2:7">
      <c r="B252" t="str">
        <f>IFERROR(_xlfn.XLOOKUP(C252, tblActors[nome], tblActors[actor_id], ""), "")</f>
        <v/>
      </c>
      <c r="G252" s="15"/>
    </row>
    <row r="253" spans="2:7">
      <c r="B253" t="str">
        <f>IFERROR(_xlfn.XLOOKUP(C253, tblActors[nome], tblActors[actor_id], ""), "")</f>
        <v/>
      </c>
      <c r="G253" s="15"/>
    </row>
    <row r="254" spans="2:7">
      <c r="B254" t="str">
        <f>IFERROR(_xlfn.XLOOKUP(C254, tblActors[nome], tblActors[actor_id], ""), "")</f>
        <v/>
      </c>
      <c r="G254" s="15"/>
    </row>
    <row r="255" spans="2:7">
      <c r="B255" t="str">
        <f>IFERROR(_xlfn.XLOOKUP(C255, tblActors[nome], tblActors[actor_id], ""), "")</f>
        <v/>
      </c>
      <c r="G255" s="15"/>
    </row>
    <row r="256" spans="2:7">
      <c r="B256" t="str">
        <f>IFERROR(_xlfn.XLOOKUP(C256, tblActors[nome], tblActors[actor_id], ""), "")</f>
        <v/>
      </c>
      <c r="G256" s="15"/>
    </row>
    <row r="257" spans="2:7">
      <c r="B257" t="str">
        <f>IFERROR(_xlfn.XLOOKUP(C257, tblActors[nome], tblActors[actor_id], ""), "")</f>
        <v/>
      </c>
      <c r="G257" s="15"/>
    </row>
    <row r="258" spans="2:7">
      <c r="B258" t="str">
        <f>IFERROR(_xlfn.XLOOKUP(C258, tblActors[nome], tblActors[actor_id], ""), "")</f>
        <v/>
      </c>
      <c r="G258" s="15"/>
    </row>
    <row r="259" spans="2:7">
      <c r="B259" t="str">
        <f>IFERROR(_xlfn.XLOOKUP(C259, tblActors[nome], tblActors[actor_id], ""), "")</f>
        <v/>
      </c>
      <c r="G259" s="15"/>
    </row>
    <row r="260" spans="2:7">
      <c r="B260" t="str">
        <f>IFERROR(_xlfn.XLOOKUP(C260, tblActors[nome], tblActors[actor_id], ""), "")</f>
        <v/>
      </c>
      <c r="G260" s="15"/>
    </row>
    <row r="261" spans="2:7">
      <c r="B261" t="str">
        <f>IFERROR(_xlfn.XLOOKUP(C261, tblActors[nome], tblActors[actor_id], ""), "")</f>
        <v/>
      </c>
      <c r="G261" s="15"/>
    </row>
    <row r="262" spans="2:7">
      <c r="B262" t="str">
        <f>IFERROR(_xlfn.XLOOKUP(C262, tblActors[nome], tblActors[actor_id], ""), "")</f>
        <v/>
      </c>
      <c r="G262" s="15"/>
    </row>
    <row r="263" spans="2:7">
      <c r="B263" t="str">
        <f>IFERROR(_xlfn.XLOOKUP(C263, tblActors[nome], tblActors[actor_id], ""), "")</f>
        <v/>
      </c>
      <c r="G263" s="15"/>
    </row>
    <row r="264" spans="2:7">
      <c r="B264" t="str">
        <f>IFERROR(_xlfn.XLOOKUP(C264, tblActors[nome], tblActors[actor_id], ""), "")</f>
        <v/>
      </c>
      <c r="G264" s="15"/>
    </row>
    <row r="265" spans="2:7">
      <c r="B265" t="str">
        <f>IFERROR(_xlfn.XLOOKUP(C265, tblActors[nome], tblActors[actor_id], ""), "")</f>
        <v/>
      </c>
      <c r="G265" s="15"/>
    </row>
    <row r="266" spans="2:7">
      <c r="B266" t="str">
        <f>IFERROR(_xlfn.XLOOKUP(C266, tblActors[nome], tblActors[actor_id], ""), "")</f>
        <v/>
      </c>
      <c r="G266" s="15"/>
    </row>
    <row r="267" spans="2:7">
      <c r="B267" t="str">
        <f>IFERROR(_xlfn.XLOOKUP(C267, tblActors[nome], tblActors[actor_id], ""), "")</f>
        <v/>
      </c>
      <c r="G267" s="15"/>
    </row>
    <row r="268" spans="2:7">
      <c r="B268" t="str">
        <f>IFERROR(_xlfn.XLOOKUP(C268, tblActors[nome], tblActors[actor_id], ""), "")</f>
        <v/>
      </c>
      <c r="G268" s="15"/>
    </row>
    <row r="269" spans="2:7">
      <c r="B269" t="str">
        <f>IFERROR(_xlfn.XLOOKUP(C269, tblActors[nome], tblActors[actor_id], ""), "")</f>
        <v/>
      </c>
      <c r="G269" s="15"/>
    </row>
    <row r="270" spans="2:7">
      <c r="B270" t="str">
        <f>IFERROR(_xlfn.XLOOKUP(C270, tblActors[nome], tblActors[actor_id], ""), "")</f>
        <v/>
      </c>
      <c r="G270" s="15"/>
    </row>
    <row r="271" spans="2:7">
      <c r="B271" t="str">
        <f>IFERROR(_xlfn.XLOOKUP(C271, tblActors[nome], tblActors[actor_id], ""), "")</f>
        <v/>
      </c>
      <c r="G271" s="15"/>
    </row>
    <row r="272" spans="2:7">
      <c r="B272" t="str">
        <f>IFERROR(_xlfn.XLOOKUP(C272, tblActors[nome], tblActors[actor_id], ""), "")</f>
        <v/>
      </c>
      <c r="G272" s="15"/>
    </row>
    <row r="273" spans="2:7">
      <c r="B273" t="str">
        <f>IFERROR(_xlfn.XLOOKUP(C273, tblActors[nome], tblActors[actor_id], ""), "")</f>
        <v/>
      </c>
      <c r="G273" s="15"/>
    </row>
    <row r="274" spans="2:7">
      <c r="B274" t="str">
        <f>IFERROR(_xlfn.XLOOKUP(C274, tblActors[nome], tblActors[actor_id], ""), "")</f>
        <v/>
      </c>
      <c r="G274" s="15"/>
    </row>
    <row r="275" spans="2:7">
      <c r="B275" t="str">
        <f>IFERROR(_xlfn.XLOOKUP(C275, tblActors[nome], tblActors[actor_id], ""), "")</f>
        <v/>
      </c>
      <c r="G275" s="15"/>
    </row>
    <row r="276" spans="2:7">
      <c r="B276" t="str">
        <f>IFERROR(_xlfn.XLOOKUP(C276, tblActors[nome], tblActors[actor_id], ""), "")</f>
        <v/>
      </c>
      <c r="G276" s="15"/>
    </row>
    <row r="277" spans="2:7">
      <c r="B277" t="str">
        <f>IFERROR(_xlfn.XLOOKUP(C277, tblActors[nome], tblActors[actor_id], ""), "")</f>
        <v/>
      </c>
      <c r="G277" s="15"/>
    </row>
    <row r="278" spans="2:7">
      <c r="B278" t="str">
        <f>IFERROR(_xlfn.XLOOKUP(C278, tblActors[nome], tblActors[actor_id], ""), "")</f>
        <v/>
      </c>
      <c r="G278" s="15"/>
    </row>
    <row r="279" spans="2:7">
      <c r="B279" t="str">
        <f>IFERROR(_xlfn.XLOOKUP(C279, tblActors[nome], tblActors[actor_id], ""), "")</f>
        <v/>
      </c>
      <c r="G279" s="15"/>
    </row>
    <row r="280" spans="2:7">
      <c r="B280" t="str">
        <f>IFERROR(_xlfn.XLOOKUP(C280, tblActors[nome], tblActors[actor_id], ""), "")</f>
        <v/>
      </c>
      <c r="G280" s="15"/>
    </row>
    <row r="281" spans="2:7">
      <c r="B281" t="str">
        <f>IFERROR(_xlfn.XLOOKUP(C281, tblActors[nome], tblActors[actor_id], ""), "")</f>
        <v/>
      </c>
      <c r="G281" s="15"/>
    </row>
    <row r="282" spans="2:7">
      <c r="B282" t="str">
        <f>IFERROR(_xlfn.XLOOKUP(C282, tblActors[nome], tblActors[actor_id], ""), "")</f>
        <v/>
      </c>
      <c r="G282" s="15"/>
    </row>
    <row r="283" spans="2:7">
      <c r="B283" t="str">
        <f>IFERROR(_xlfn.XLOOKUP(C283, tblActors[nome], tblActors[actor_id], ""), "")</f>
        <v/>
      </c>
      <c r="G283" s="15"/>
    </row>
    <row r="284" spans="2:7">
      <c r="B284" t="str">
        <f>IFERROR(_xlfn.XLOOKUP(C284, tblActors[nome], tblActors[actor_id], ""), "")</f>
        <v/>
      </c>
      <c r="G284" s="15"/>
    </row>
    <row r="285" spans="2:7">
      <c r="B285" t="str">
        <f>IFERROR(_xlfn.XLOOKUP(C285, tblActors[nome], tblActors[actor_id], ""), "")</f>
        <v/>
      </c>
      <c r="G285" s="15"/>
    </row>
    <row r="286" spans="2:7">
      <c r="B286" t="str">
        <f>IFERROR(_xlfn.XLOOKUP(C286, tblActors[nome], tblActors[actor_id], ""), "")</f>
        <v/>
      </c>
      <c r="G286" s="15"/>
    </row>
    <row r="287" spans="2:7">
      <c r="B287" t="str">
        <f>IFERROR(_xlfn.XLOOKUP(C287, tblActors[nome], tblActors[actor_id], ""), "")</f>
        <v/>
      </c>
      <c r="G287" s="15"/>
    </row>
    <row r="288" spans="2:7">
      <c r="B288" t="str">
        <f>IFERROR(_xlfn.XLOOKUP(C288, tblActors[nome], tblActors[actor_id], ""), "")</f>
        <v/>
      </c>
      <c r="G288" s="15"/>
    </row>
    <row r="289" spans="2:7">
      <c r="B289" t="str">
        <f>IFERROR(_xlfn.XLOOKUP(C289, tblActors[nome], tblActors[actor_id], ""), "")</f>
        <v/>
      </c>
      <c r="G289" s="15"/>
    </row>
    <row r="290" spans="2:7">
      <c r="B290" t="str">
        <f>IFERROR(_xlfn.XLOOKUP(C290, tblActors[nome], tblActors[actor_id], ""), "")</f>
        <v/>
      </c>
      <c r="G290" s="15"/>
    </row>
    <row r="291" spans="2:7">
      <c r="B291" t="str">
        <f>IFERROR(_xlfn.XLOOKUP(C291, tblActors[nome], tblActors[actor_id], ""), "")</f>
        <v/>
      </c>
      <c r="G291" s="15"/>
    </row>
    <row r="292" spans="2:7">
      <c r="B292" t="str">
        <f>IFERROR(_xlfn.XLOOKUP(C292, tblActors[nome], tblActors[actor_id], ""), "")</f>
        <v/>
      </c>
      <c r="G292" s="15"/>
    </row>
    <row r="293" spans="2:7">
      <c r="B293" t="str">
        <f>IFERROR(_xlfn.XLOOKUP(C293, tblActors[nome], tblActors[actor_id], ""), "")</f>
        <v/>
      </c>
      <c r="G293" s="15"/>
    </row>
    <row r="294" spans="2:7">
      <c r="B294" t="str">
        <f>IFERROR(_xlfn.XLOOKUP(C294, tblActors[nome], tblActors[actor_id], ""), "")</f>
        <v/>
      </c>
      <c r="G294" s="15"/>
    </row>
    <row r="295" spans="2:7">
      <c r="B295" t="str">
        <f>IFERROR(_xlfn.XLOOKUP(C295, tblActors[nome], tblActors[actor_id], ""), "")</f>
        <v/>
      </c>
      <c r="G295" s="15"/>
    </row>
    <row r="296" spans="2:7">
      <c r="B296" t="str">
        <f>IFERROR(_xlfn.XLOOKUP(C296, tblActors[nome], tblActors[actor_id], ""), "")</f>
        <v/>
      </c>
      <c r="G296" s="15"/>
    </row>
    <row r="297" spans="2:7">
      <c r="B297" t="str">
        <f>IFERROR(_xlfn.XLOOKUP(C297, tblActors[nome], tblActors[actor_id], ""), "")</f>
        <v/>
      </c>
      <c r="G297" s="15"/>
    </row>
    <row r="298" spans="2:7">
      <c r="B298" t="str">
        <f>IFERROR(_xlfn.XLOOKUP(C298, tblActors[nome], tblActors[actor_id], ""), "")</f>
        <v/>
      </c>
      <c r="G298" s="15"/>
    </row>
    <row r="299" spans="2:7">
      <c r="B299" t="str">
        <f>IFERROR(_xlfn.XLOOKUP(C299, tblActors[nome], tblActors[actor_id], ""), "")</f>
        <v/>
      </c>
      <c r="G299" s="15"/>
    </row>
    <row r="300" spans="2:7">
      <c r="B300" t="str">
        <f>IFERROR(_xlfn.XLOOKUP(C300, tblActors[nome], tblActors[actor_id], ""), "")</f>
        <v/>
      </c>
      <c r="G300" s="15"/>
    </row>
    <row r="301" spans="2:7">
      <c r="B301" t="str">
        <f>IFERROR(_xlfn.XLOOKUP(C301, tblActors[nome], tblActors[actor_id], ""), "")</f>
        <v/>
      </c>
      <c r="G301" s="15"/>
    </row>
    <row r="302" spans="2:7">
      <c r="B302" t="str">
        <f>IFERROR(_xlfn.XLOOKUP(C302, tblActors[nome], tblActors[actor_id], ""), "")</f>
        <v/>
      </c>
      <c r="G302" s="15"/>
    </row>
    <row r="303" spans="2:7">
      <c r="B303" t="str">
        <f>IFERROR(_xlfn.XLOOKUP(C303, tblActors[nome], tblActors[actor_id], ""), "")</f>
        <v/>
      </c>
      <c r="G303" s="15"/>
    </row>
    <row r="304" spans="2:7">
      <c r="B304" t="str">
        <f>IFERROR(_xlfn.XLOOKUP(C304, tblActors[nome], tblActors[actor_id], ""), "")</f>
        <v/>
      </c>
      <c r="G304" s="15"/>
    </row>
    <row r="305" spans="2:7">
      <c r="B305" t="str">
        <f>IFERROR(_xlfn.XLOOKUP(C305, tblActors[nome], tblActors[actor_id], ""), "")</f>
        <v/>
      </c>
      <c r="G305" s="15"/>
    </row>
    <row r="306" spans="2:7">
      <c r="B306" t="str">
        <f>IFERROR(_xlfn.XLOOKUP(C306, tblActors[nome], tblActors[actor_id], ""), "")</f>
        <v/>
      </c>
      <c r="G306" s="15"/>
    </row>
    <row r="307" spans="2:7">
      <c r="B307" t="str">
        <f>IFERROR(_xlfn.XLOOKUP(C307, tblActors[nome], tblActors[actor_id], ""), "")</f>
        <v/>
      </c>
      <c r="G307" s="15"/>
    </row>
    <row r="308" spans="2:7">
      <c r="B308" t="str">
        <f>IFERROR(_xlfn.XLOOKUP(C308, tblActors[nome], tblActors[actor_id], ""), "")</f>
        <v/>
      </c>
      <c r="G308" s="15"/>
    </row>
    <row r="309" spans="2:7">
      <c r="B309" t="str">
        <f>IFERROR(_xlfn.XLOOKUP(C309, tblActors[nome], tblActors[actor_id], ""), "")</f>
        <v/>
      </c>
      <c r="G309" s="15"/>
    </row>
    <row r="310" spans="2:7">
      <c r="B310" t="str">
        <f>IFERROR(_xlfn.XLOOKUP(C310, tblActors[nome], tblActors[actor_id], ""), "")</f>
        <v/>
      </c>
      <c r="G310" s="15"/>
    </row>
    <row r="311" spans="2:7">
      <c r="B311" t="str">
        <f>IFERROR(_xlfn.XLOOKUP(C311, tblActors[nome], tblActors[actor_id], ""), "")</f>
        <v/>
      </c>
      <c r="G311" s="15"/>
    </row>
    <row r="312" spans="2:7">
      <c r="B312" t="str">
        <f>IFERROR(_xlfn.XLOOKUP(C312, tblActors[nome], tblActors[actor_id], ""), "")</f>
        <v/>
      </c>
      <c r="G312" s="15"/>
    </row>
    <row r="313" spans="2:7">
      <c r="B313" t="str">
        <f>IFERROR(_xlfn.XLOOKUP(C313, tblActors[nome], tblActors[actor_id], ""), "")</f>
        <v/>
      </c>
      <c r="G313" s="15"/>
    </row>
    <row r="314" spans="2:7">
      <c r="B314" t="str">
        <f>IFERROR(_xlfn.XLOOKUP(C314, tblActors[nome], tblActors[actor_id], ""), "")</f>
        <v/>
      </c>
      <c r="G314" s="15"/>
    </row>
    <row r="315" spans="2:7">
      <c r="B315" t="str">
        <f>IFERROR(_xlfn.XLOOKUP(C315, tblActors[nome], tblActors[actor_id], ""), "")</f>
        <v/>
      </c>
      <c r="G315" s="15"/>
    </row>
    <row r="316" spans="2:7">
      <c r="B316" t="str">
        <f>IFERROR(_xlfn.XLOOKUP(C316, tblActors[nome], tblActors[actor_id], ""), "")</f>
        <v/>
      </c>
      <c r="G316" s="15"/>
    </row>
    <row r="317" spans="2:7">
      <c r="B317" t="str">
        <f>IFERROR(_xlfn.XLOOKUP(C317, tblActors[nome], tblActors[actor_id], ""), "")</f>
        <v/>
      </c>
      <c r="G317" s="15"/>
    </row>
    <row r="318" spans="2:7">
      <c r="B318" t="str">
        <f>IFERROR(_xlfn.XLOOKUP(C318, tblActors[nome], tblActors[actor_id], ""), "")</f>
        <v/>
      </c>
      <c r="G318" s="15"/>
    </row>
    <row r="319" spans="2:7">
      <c r="B319" t="str">
        <f>IFERROR(_xlfn.XLOOKUP(C319, tblActors[nome], tblActors[actor_id], ""), "")</f>
        <v/>
      </c>
      <c r="G319" s="15"/>
    </row>
    <row r="320" spans="2:7">
      <c r="B320" t="str">
        <f>IFERROR(_xlfn.XLOOKUP(C320, tblActors[nome], tblActors[actor_id], ""), "")</f>
        <v/>
      </c>
      <c r="G320" s="15"/>
    </row>
    <row r="321" spans="2:7">
      <c r="B321" t="str">
        <f>IFERROR(_xlfn.XLOOKUP(C321, tblActors[nome], tblActors[actor_id], ""), "")</f>
        <v/>
      </c>
      <c r="G321" s="15"/>
    </row>
    <row r="322" spans="2:7">
      <c r="B322" t="str">
        <f>IFERROR(_xlfn.XLOOKUP(C322, tblActors[nome], tblActors[actor_id], ""), "")</f>
        <v/>
      </c>
      <c r="G322" s="15"/>
    </row>
    <row r="323" spans="2:7">
      <c r="B323" t="str">
        <f>IFERROR(_xlfn.XLOOKUP(C323, tblActors[nome], tblActors[actor_id], ""), "")</f>
        <v/>
      </c>
      <c r="G323" s="15"/>
    </row>
    <row r="324" spans="2:7">
      <c r="B324" t="str">
        <f>IFERROR(_xlfn.XLOOKUP(C324, tblActors[nome], tblActors[actor_id], ""), "")</f>
        <v/>
      </c>
      <c r="G324" s="15"/>
    </row>
    <row r="325" spans="2:7">
      <c r="B325" t="str">
        <f>IFERROR(_xlfn.XLOOKUP(C325, tblActors[nome], tblActors[actor_id], ""), "")</f>
        <v/>
      </c>
      <c r="G325" s="15"/>
    </row>
    <row r="326" spans="2:7">
      <c r="B326" t="str">
        <f>IFERROR(_xlfn.XLOOKUP(C326, tblActors[nome], tblActors[actor_id], ""), "")</f>
        <v/>
      </c>
      <c r="G326" s="15"/>
    </row>
    <row r="327" spans="2:7">
      <c r="B327" t="str">
        <f>IFERROR(_xlfn.XLOOKUP(C327, tblActors[nome], tblActors[actor_id], ""), "")</f>
        <v/>
      </c>
      <c r="G327" s="15"/>
    </row>
    <row r="328" spans="2:7">
      <c r="B328" t="str">
        <f>IFERROR(_xlfn.XLOOKUP(C328, tblActors[nome], tblActors[actor_id], ""), "")</f>
        <v/>
      </c>
      <c r="G328" s="15"/>
    </row>
  </sheetData>
  <phoneticPr fontId="2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Somente nomes da lista de atores são permitidos." prompt="Selecione um ator existente (aba ‘actors’)." xr:uid="{40D3404D-DBD9-4525-B5BC-487FA87ACC1C}">
          <x14:formula1>
            <xm:f>actors!$F$1:$F$16</xm:f>
          </x14:formula1>
          <xm:sqref>C1:C1048576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relations_daily</vt:lpstr>
      <vt:lpstr>actors</vt:lpstr>
      <vt:lpstr>events</vt:lpstr>
      <vt:lpstr>event_impacts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estevam</cp:lastModifiedBy>
  <dcterms:created xsi:type="dcterms:W3CDTF">2025-10-17T02:00:08Z</dcterms:created>
  <dcterms:modified xsi:type="dcterms:W3CDTF">2025-10-20T17:37:41Z</dcterms:modified>
</cp:coreProperties>
</file>